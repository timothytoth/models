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597" documentId="11_0B1D56BE9CDCCE836B02CE7A5FB0D4A9BBFD1C62" xr6:coauthVersionLast="47" xr6:coauthVersionMax="47" xr10:uidLastSave="{C9158D73-DA8E-4808-9527-D1E7BB355B32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F26" i="2"/>
  <c r="F22" i="2"/>
  <c r="F20" i="2"/>
  <c r="F19" i="2"/>
  <c r="F18" i="2"/>
  <c r="F16" i="2"/>
  <c r="F13" i="2"/>
  <c r="F11" i="2"/>
  <c r="F10" i="2"/>
  <c r="F9" i="2"/>
  <c r="F7" i="2"/>
  <c r="F6" i="2"/>
  <c r="F5" i="2"/>
  <c r="F4" i="2"/>
  <c r="F3" i="2"/>
  <c r="F49" i="2"/>
  <c r="F50" i="2" s="1"/>
  <c r="F41" i="2"/>
  <c r="F23" i="2"/>
  <c r="F15" i="2"/>
  <c r="F17" i="2" s="1"/>
  <c r="F24" i="2" s="1"/>
  <c r="F25" i="2" s="1"/>
  <c r="F27" i="2" s="1"/>
  <c r="F28" i="2" s="1"/>
  <c r="C9" i="2"/>
  <c r="C3" i="2"/>
  <c r="D31" i="2"/>
  <c r="D9" i="2"/>
  <c r="D3" i="2"/>
  <c r="E31" i="2"/>
  <c r="E15" i="2"/>
  <c r="E9" i="2"/>
  <c r="E3" i="2"/>
  <c r="G9" i="2"/>
  <c r="G3" i="2"/>
  <c r="H3" i="2"/>
  <c r="E49" i="2"/>
  <c r="E50" i="2" s="1"/>
  <c r="D49" i="2"/>
  <c r="D50" i="2" s="1"/>
  <c r="C49" i="2"/>
  <c r="C50" i="2" s="1"/>
  <c r="E41" i="2"/>
  <c r="D41" i="2"/>
  <c r="C31" i="2"/>
  <c r="C41" i="2" s="1"/>
  <c r="E23" i="2"/>
  <c r="D23" i="2"/>
  <c r="C23" i="2"/>
  <c r="E17" i="2"/>
  <c r="E24" i="2" s="1"/>
  <c r="E25" i="2" s="1"/>
  <c r="E27" i="2" s="1"/>
  <c r="E28" i="2" s="1"/>
  <c r="D15" i="2"/>
  <c r="D17" i="2" s="1"/>
  <c r="D24" i="2" s="1"/>
  <c r="D25" i="2" s="1"/>
  <c r="D27" i="2" s="1"/>
  <c r="D28" i="2" s="1"/>
  <c r="C15" i="2"/>
  <c r="C17" i="2" s="1"/>
  <c r="C24" i="2" s="1"/>
  <c r="C25" i="2" s="1"/>
  <c r="C27" i="2" s="1"/>
  <c r="C28" i="2" s="1"/>
  <c r="J22" i="2"/>
  <c r="J20" i="2"/>
  <c r="J19" i="2"/>
  <c r="J18" i="2"/>
  <c r="J16" i="2"/>
  <c r="J14" i="2"/>
  <c r="J13" i="2"/>
  <c r="J11" i="2"/>
  <c r="J10" i="2"/>
  <c r="J9" i="2"/>
  <c r="J7" i="2"/>
  <c r="J6" i="2"/>
  <c r="J5" i="2"/>
  <c r="J4" i="2"/>
  <c r="J3" i="2"/>
  <c r="J49" i="2"/>
  <c r="J50" i="2" s="1"/>
  <c r="J31" i="2"/>
  <c r="J41" i="2" s="1"/>
  <c r="J23" i="2"/>
  <c r="J15" i="2"/>
  <c r="J17" i="2" s="1"/>
  <c r="J24" i="2" s="1"/>
  <c r="J25" i="2" s="1"/>
  <c r="J27" i="2" s="1"/>
  <c r="J28" i="2" s="1"/>
  <c r="H31" i="2"/>
  <c r="H9" i="2"/>
  <c r="I31" i="2"/>
  <c r="I9" i="2"/>
  <c r="I3" i="2"/>
  <c r="I49" i="2"/>
  <c r="I50" i="2" s="1"/>
  <c r="H49" i="2"/>
  <c r="H50" i="2" s="1"/>
  <c r="G49" i="2"/>
  <c r="G50" i="2" s="1"/>
  <c r="I41" i="2"/>
  <c r="H41" i="2"/>
  <c r="G31" i="2"/>
  <c r="G41" i="2" s="1"/>
  <c r="I23" i="2"/>
  <c r="H23" i="2"/>
  <c r="G23" i="2"/>
  <c r="I15" i="2"/>
  <c r="I17" i="2" s="1"/>
  <c r="I24" i="2" s="1"/>
  <c r="I25" i="2" s="1"/>
  <c r="I27" i="2" s="1"/>
  <c r="I28" i="2" s="1"/>
  <c r="H15" i="2"/>
  <c r="H17" i="2" s="1"/>
  <c r="H24" i="2" s="1"/>
  <c r="G15" i="2"/>
  <c r="G17" i="2" s="1"/>
  <c r="G24" i="2" s="1"/>
  <c r="G25" i="2" s="1"/>
  <c r="G27" i="2" s="1"/>
  <c r="G28" i="2" s="1"/>
  <c r="N31" i="2"/>
  <c r="N26" i="2"/>
  <c r="N20" i="2"/>
  <c r="N19" i="2"/>
  <c r="N18" i="2"/>
  <c r="N16" i="2"/>
  <c r="N13" i="2"/>
  <c r="N12" i="2"/>
  <c r="N11" i="2"/>
  <c r="N10" i="2"/>
  <c r="N9" i="2"/>
  <c r="N7" i="2"/>
  <c r="N6" i="2"/>
  <c r="N5" i="2"/>
  <c r="N4" i="2"/>
  <c r="N3" i="2"/>
  <c r="N49" i="2"/>
  <c r="N50" i="2" s="1"/>
  <c r="N41" i="2"/>
  <c r="N27" i="2"/>
  <c r="N28" i="2" s="1"/>
  <c r="N23" i="2"/>
  <c r="N15" i="2"/>
  <c r="N17" i="2" s="1"/>
  <c r="N24" i="2" s="1"/>
  <c r="K49" i="2"/>
  <c r="K50" i="2" s="1"/>
  <c r="K31" i="2"/>
  <c r="K41" i="2" s="1"/>
  <c r="K27" i="2"/>
  <c r="K28" i="2" s="1"/>
  <c r="K23" i="2"/>
  <c r="K15" i="2"/>
  <c r="K17" i="2" s="1"/>
  <c r="K24" i="2" s="1"/>
  <c r="L31" i="2"/>
  <c r="L49" i="2"/>
  <c r="L50" i="2" s="1"/>
  <c r="L41" i="2"/>
  <c r="L27" i="2"/>
  <c r="L28" i="2" s="1"/>
  <c r="L23" i="2"/>
  <c r="L15" i="2"/>
  <c r="L17" i="2" s="1"/>
  <c r="L24" i="2" s="1"/>
  <c r="M31" i="2"/>
  <c r="M23" i="2"/>
  <c r="M49" i="2"/>
  <c r="M50" i="2" s="1"/>
  <c r="M41" i="2"/>
  <c r="M15" i="2"/>
  <c r="M17" i="2" s="1"/>
  <c r="M24" i="2" s="1"/>
  <c r="M27" i="2" s="1"/>
  <c r="M28" i="2" s="1"/>
  <c r="G8" i="1"/>
  <c r="G6" i="1"/>
  <c r="O31" i="2"/>
  <c r="P31" i="2"/>
  <c r="O49" i="2"/>
  <c r="O50" i="2" s="1"/>
  <c r="O41" i="2"/>
  <c r="O23" i="2"/>
  <c r="O15" i="2"/>
  <c r="O17" i="2" s="1"/>
  <c r="O24" i="2" s="1"/>
  <c r="P49" i="2"/>
  <c r="P50" i="2" s="1"/>
  <c r="P41" i="2"/>
  <c r="P23" i="2"/>
  <c r="P15" i="2"/>
  <c r="P17" i="2" s="1"/>
  <c r="P24" i="2" s="1"/>
  <c r="P25" i="2" s="1"/>
  <c r="P27" i="2" s="1"/>
  <c r="P28" i="2" s="1"/>
  <c r="G5" i="1"/>
  <c r="H25" i="2" l="1"/>
  <c r="H27" i="2" s="1"/>
  <c r="H28" i="2" s="1"/>
  <c r="O25" i="2"/>
  <c r="O27" i="2" s="1"/>
  <c r="O28" i="2" s="1"/>
</calcChain>
</file>

<file path=xl/sharedStrings.xml><?xml version="1.0" encoding="utf-8"?>
<sst xmlns="http://schemas.openxmlformats.org/spreadsheetml/2006/main" count="67" uniqueCount="60">
  <si>
    <t>sofi</t>
  </si>
  <si>
    <t>price</t>
  </si>
  <si>
    <t>shares</t>
  </si>
  <si>
    <t>mc</t>
  </si>
  <si>
    <t>cash</t>
  </si>
  <si>
    <t>debt</t>
  </si>
  <si>
    <t>ev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</si>
  <si>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</si>
  <si>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</si>
  <si>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</si>
  <si>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</si>
  <si>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</si>
  <si>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</si>
  <si>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</si>
  <si>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</si>
  <si>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</si>
  <si>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</si>
  <si>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</si>
  <si>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</si>
  <si>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</si>
  <si>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</si>
  <si>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loans and secuixations</t>
  </si>
  <si>
    <t>other</t>
  </si>
  <si>
    <t>securizations and warehouses</t>
  </si>
  <si>
    <t>deposits</t>
  </si>
  <si>
    <t>corporate bowrrowings</t>
  </si>
  <si>
    <t>LOSS&amp;S</t>
  </si>
  <si>
    <t>Servicing</t>
  </si>
  <si>
    <t>tech products and solutions</t>
  </si>
  <si>
    <t>loan platform fees</t>
  </si>
  <si>
    <t>provision for credit losses</t>
  </si>
  <si>
    <t>revenue</t>
  </si>
  <si>
    <t>cogs</t>
  </si>
  <si>
    <t>gross profit</t>
  </si>
  <si>
    <t>tech and product devolopment</t>
  </si>
  <si>
    <t>s&amp;m</t>
  </si>
  <si>
    <t>g&amp;a</t>
  </si>
  <si>
    <t>goodwill</t>
  </si>
  <si>
    <t>operating expenses</t>
  </si>
  <si>
    <t>operating income</t>
  </si>
  <si>
    <t>pretax expenses</t>
  </si>
  <si>
    <t>tax</t>
  </si>
  <si>
    <t>net income</t>
  </si>
  <si>
    <t>eps</t>
  </si>
  <si>
    <t>cash and cash equilivants</t>
  </si>
  <si>
    <t>loans held for sale</t>
  </si>
  <si>
    <t>loans held for investment</t>
  </si>
  <si>
    <t>amoritlized loan for investment</t>
  </si>
  <si>
    <t>servicing rights</t>
  </si>
  <si>
    <t>propery equipment software</t>
  </si>
  <si>
    <t>intgable assets</t>
  </si>
  <si>
    <t>rou</t>
  </si>
  <si>
    <t>assets</t>
  </si>
  <si>
    <t>interest bearing deposits</t>
  </si>
  <si>
    <t>noninterest deposits</t>
  </si>
  <si>
    <t>ap</t>
  </si>
  <si>
    <t>operating lease</t>
  </si>
  <si>
    <t>residual interest</t>
  </si>
  <si>
    <t>SE</t>
  </si>
  <si>
    <t>L+SE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</si>
</sst>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1" fillId="0" borderId="0" xfId="0" applyFont="1"/>
    <xf numFmtId="3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8"/>
  <sheetViews>
    <sheetView workbookViewId="0"/>
  </sheetViews>
  <sheetFormatPr defaultRowHeight="15"/>
  <cols>
    <col min="7" max="7" width="9.85546875" bestFit="1" customWidth="1"/>
  </cols>
  <sheetData>
    <row r="3" spans="3:7">
      <c r="C3" t="s">
        <v>0</v>
      </c>
      <c r="F3" t="s">
        <v>1</v>
      </c>
      <c r="G3" s="1">
        <v>30</v>
      </c>
    </row>
    <row r="4" spans="3:7">
      <c r="F4" t="s">
        <v>2</v>
      </c>
      <c r="G4" s="1">
        <v>1197</v>
      </c>
    </row>
    <row r="5" spans="3:7">
      <c r="F5" t="s">
        <v>3</v>
      </c>
      <c r="G5" s="1">
        <f>+G4*G3</f>
        <v>35910</v>
      </c>
    </row>
    <row r="6" spans="3:7">
      <c r="F6" t="s">
        <v>4</v>
      </c>
      <c r="G6" s="1">
        <f>2122+592+2375</f>
        <v>5089</v>
      </c>
    </row>
    <row r="7" spans="3:7">
      <c r="F7" t="s">
        <v>5</v>
      </c>
      <c r="G7" s="1">
        <v>3943</v>
      </c>
    </row>
    <row r="8" spans="3:7">
      <c r="F8" t="s">
        <v>6</v>
      </c>
      <c r="G8" s="1">
        <f>+G5-G6+G7</f>
        <v>34764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1BD1-0542-4C20-A49E-EA81C6B02D99}">
  <dimension ref="B2:P50"/>
  <sheetViews>
    <sheetView tabSelected="1" workbookViewId="0">
      <pane xSplit="2" ySplit="2" topLeftCell="C3" activePane="bottomRight" state="frozen"/>
      <selection pane="bottomRight"/>
      <selection pane="bottomLeft"/>
      <selection pane="topRight"/>
    </sheetView>
  </sheetViews>
  <sheetFormatPr defaultRowHeight="15"/>
  <cols>
    <col min="16" max="16" width="9.28515625" bestFit="1" customWidth="1"/>
  </cols>
  <sheetData>
    <row r="2" spans="2:16"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3" t="s">
        <v>16</v>
      </c>
      <c r="M2" s="2" t="s">
        <v>17</v>
      </c>
      <c r="N2" s="2" t="s">
        <v>18</v>
      </c>
      <c r="O2" s="2" t="s">
        <v>19</v>
      </c>
      <c r="P2" s="2" t="s">
        <v>20</v>
      </c>
    </row>
    <row r="3" spans="2:16">
      <c r="B3" t="s">
        <v>21</v>
      </c>
      <c r="C3" s="1">
        <f>114+3</f>
        <v>117</v>
      </c>
      <c r="D3" s="1">
        <f>145+3</f>
        <v>148</v>
      </c>
      <c r="E3" s="1">
        <f>192+3</f>
        <v>195</v>
      </c>
      <c r="F3" s="1">
        <f>749+10-C3-D3-E3</f>
        <v>299</v>
      </c>
      <c r="G3" s="1">
        <f>357+3</f>
        <v>360</v>
      </c>
      <c r="H3" s="1">
        <f>442+3</f>
        <v>445</v>
      </c>
      <c r="I3" s="1">
        <f>538+2</f>
        <v>540</v>
      </c>
      <c r="J3" s="1">
        <f>1944-G3-H3-I3</f>
        <v>599</v>
      </c>
      <c r="K3">
        <v>620</v>
      </c>
      <c r="L3">
        <v>621</v>
      </c>
      <c r="M3">
        <v>672</v>
      </c>
      <c r="N3">
        <f>2602-K3-L3-M3</f>
        <v>689</v>
      </c>
      <c r="O3">
        <v>713</v>
      </c>
      <c r="P3" s="1">
        <v>739</v>
      </c>
    </row>
    <row r="4" spans="2:16">
      <c r="B4" t="s">
        <v>22</v>
      </c>
      <c r="C4" s="1">
        <v>1</v>
      </c>
      <c r="D4" s="1">
        <v>2</v>
      </c>
      <c r="E4" s="1">
        <v>4</v>
      </c>
      <c r="F4" s="1">
        <f>14-C4-D4-E4</f>
        <v>7</v>
      </c>
      <c r="G4" s="1">
        <v>11</v>
      </c>
      <c r="H4" s="1">
        <v>25</v>
      </c>
      <c r="I4" s="1">
        <v>24</v>
      </c>
      <c r="J4" s="1">
        <f>107-G4-H4-I4</f>
        <v>47</v>
      </c>
      <c r="K4">
        <v>46</v>
      </c>
      <c r="L4">
        <v>54</v>
      </c>
      <c r="M4">
        <v>51</v>
      </c>
      <c r="N4">
        <f>206-K4-L4-M4</f>
        <v>55</v>
      </c>
      <c r="O4">
        <v>51</v>
      </c>
      <c r="P4" s="1">
        <v>56</v>
      </c>
    </row>
    <row r="5" spans="2:16">
      <c r="B5" t="s">
        <v>23</v>
      </c>
      <c r="C5" s="1">
        <v>20</v>
      </c>
      <c r="D5" s="1">
        <v>19</v>
      </c>
      <c r="E5" s="1">
        <v>21</v>
      </c>
      <c r="F5" s="1">
        <f>110-C5-D5-E5</f>
        <v>50</v>
      </c>
      <c r="G5" s="1">
        <v>54</v>
      </c>
      <c r="H5" s="1">
        <v>63</v>
      </c>
      <c r="I5" s="1">
        <v>64</v>
      </c>
      <c r="J5" s="1">
        <f>244-G5-H5-I5</f>
        <v>63</v>
      </c>
      <c r="K5">
        <v>41</v>
      </c>
      <c r="L5">
        <v>17</v>
      </c>
      <c r="M5">
        <v>31</v>
      </c>
      <c r="N5">
        <f>112-K5-L5-M5</f>
        <v>23</v>
      </c>
      <c r="O5">
        <v>28</v>
      </c>
      <c r="P5" s="1">
        <v>30</v>
      </c>
    </row>
    <row r="6" spans="2:16">
      <c r="B6" t="s">
        <v>24</v>
      </c>
      <c r="C6" s="1">
        <v>0.4</v>
      </c>
      <c r="D6" s="1">
        <v>5</v>
      </c>
      <c r="E6" s="1">
        <v>14</v>
      </c>
      <c r="F6" s="1">
        <f>60-C6-D6-E6</f>
        <v>40.6</v>
      </c>
      <c r="G6" s="1">
        <v>73</v>
      </c>
      <c r="H6" s="1">
        <v>107</v>
      </c>
      <c r="I6" s="1">
        <v>146</v>
      </c>
      <c r="J6" s="1">
        <f>508-G6-H6-I6</f>
        <v>182</v>
      </c>
      <c r="K6">
        <v>211</v>
      </c>
      <c r="L6">
        <v>232</v>
      </c>
      <c r="M6">
        <v>248</v>
      </c>
      <c r="N6">
        <f>930-K6-L6-M6</f>
        <v>239</v>
      </c>
      <c r="O6">
        <v>225</v>
      </c>
      <c r="P6" s="1">
        <v>233</v>
      </c>
    </row>
    <row r="7" spans="2:16">
      <c r="B7" t="s">
        <v>25</v>
      </c>
      <c r="C7" s="1">
        <v>3</v>
      </c>
      <c r="D7" s="1">
        <v>3</v>
      </c>
      <c r="E7" s="1">
        <v>5</v>
      </c>
      <c r="F7" s="1">
        <f>18-C7-D7-E7</f>
        <v>7</v>
      </c>
      <c r="G7" s="1">
        <v>8</v>
      </c>
      <c r="H7" s="1">
        <v>9</v>
      </c>
      <c r="I7" s="1">
        <v>10</v>
      </c>
      <c r="J7" s="1">
        <f>37-G7-H7-I7</f>
        <v>10</v>
      </c>
      <c r="K7">
        <v>11</v>
      </c>
      <c r="L7">
        <v>13</v>
      </c>
      <c r="M7">
        <v>13</v>
      </c>
      <c r="N7">
        <f>48-K7-L7-M7</f>
        <v>11</v>
      </c>
      <c r="O7">
        <v>11</v>
      </c>
      <c r="P7" s="1">
        <v>12</v>
      </c>
    </row>
    <row r="8" spans="2:16">
      <c r="B8" t="s">
        <v>22</v>
      </c>
      <c r="C8" s="1">
        <v>0.49</v>
      </c>
      <c r="D8" s="1">
        <v>0.2</v>
      </c>
      <c r="E8" s="1">
        <v>0.2</v>
      </c>
      <c r="F8" s="1">
        <v>0.2</v>
      </c>
      <c r="G8" s="1">
        <v>0.2</v>
      </c>
      <c r="H8" s="1">
        <v>0.1</v>
      </c>
      <c r="I8" s="1">
        <v>0.1</v>
      </c>
      <c r="J8" s="1">
        <v>0.1</v>
      </c>
      <c r="K8">
        <v>0.1</v>
      </c>
      <c r="L8">
        <v>0.1</v>
      </c>
      <c r="M8">
        <v>0.1</v>
      </c>
      <c r="N8">
        <v>0.1</v>
      </c>
      <c r="O8">
        <v>0.1</v>
      </c>
      <c r="P8" s="1">
        <v>0.2</v>
      </c>
    </row>
    <row r="9" spans="2:16">
      <c r="B9" t="s">
        <v>26</v>
      </c>
      <c r="C9" s="1">
        <f>158-11</f>
        <v>147</v>
      </c>
      <c r="D9" s="1">
        <f>144+12</f>
        <v>156</v>
      </c>
      <c r="E9" s="1">
        <f>164-9</f>
        <v>155</v>
      </c>
      <c r="F9" s="1">
        <f>605-40-C9-D9-E9</f>
        <v>107</v>
      </c>
      <c r="G9" s="1">
        <f>127+3</f>
        <v>130</v>
      </c>
      <c r="H9" s="1">
        <f>103+13</f>
        <v>116</v>
      </c>
      <c r="I9" s="1">
        <f>82+6</f>
        <v>88</v>
      </c>
      <c r="J9" s="1">
        <f>372-G9-H9-I9</f>
        <v>38</v>
      </c>
      <c r="K9" s="1">
        <v>57</v>
      </c>
      <c r="L9" s="1">
        <v>55</v>
      </c>
      <c r="M9" s="1">
        <v>70</v>
      </c>
      <c r="N9" s="1">
        <f>256-K9-L9-M9</f>
        <v>74</v>
      </c>
      <c r="O9" s="1">
        <v>5</v>
      </c>
      <c r="P9" s="1">
        <v>71</v>
      </c>
    </row>
    <row r="10" spans="2:16">
      <c r="B10" t="s">
        <v>27</v>
      </c>
      <c r="C10" s="1">
        <v>12</v>
      </c>
      <c r="D10" s="1">
        <v>10</v>
      </c>
      <c r="E10" s="1">
        <v>7</v>
      </c>
      <c r="F10" s="1">
        <f>44-C10-D10-E10</f>
        <v>15</v>
      </c>
      <c r="G10" s="1">
        <v>13</v>
      </c>
      <c r="H10" s="1">
        <v>9</v>
      </c>
      <c r="I10" s="1">
        <v>8</v>
      </c>
      <c r="J10" s="1">
        <f>37-G10-H10-I10</f>
        <v>7</v>
      </c>
      <c r="K10" s="1">
        <v>7</v>
      </c>
      <c r="L10" s="1">
        <v>7</v>
      </c>
      <c r="M10" s="1">
        <v>0</v>
      </c>
      <c r="N10" s="1">
        <f>22-K10-L10-M10</f>
        <v>8</v>
      </c>
      <c r="O10" s="1"/>
      <c r="P10" s="1"/>
    </row>
    <row r="11" spans="2:16">
      <c r="B11" t="s">
        <v>28</v>
      </c>
      <c r="C11" s="1">
        <v>60</v>
      </c>
      <c r="D11" s="1">
        <v>82</v>
      </c>
      <c r="E11" s="1">
        <v>82</v>
      </c>
      <c r="F11" s="1">
        <f>305-C11-D11-E11</f>
        <v>81</v>
      </c>
      <c r="G11" s="1">
        <v>73</v>
      </c>
      <c r="H11" s="1">
        <v>82</v>
      </c>
      <c r="I11" s="1">
        <v>82</v>
      </c>
      <c r="J11" s="1">
        <f>324-G11-H11-I11</f>
        <v>87</v>
      </c>
      <c r="K11" s="1">
        <v>86</v>
      </c>
      <c r="L11" s="1">
        <v>86</v>
      </c>
      <c r="M11" s="1">
        <v>10</v>
      </c>
      <c r="N11" s="1">
        <f>351-K11-L11-M11</f>
        <v>169</v>
      </c>
      <c r="O11" s="1">
        <v>86</v>
      </c>
      <c r="P11" s="1">
        <v>91</v>
      </c>
    </row>
    <row r="12" spans="2:16">
      <c r="B12" t="s">
        <v>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56</v>
      </c>
      <c r="N12" s="1">
        <f>142-K12-L12-M12</f>
        <v>86</v>
      </c>
      <c r="O12" s="1">
        <v>93</v>
      </c>
      <c r="P12" s="1">
        <v>127</v>
      </c>
    </row>
    <row r="13" spans="2:16">
      <c r="B13" t="s">
        <v>22</v>
      </c>
      <c r="C13" s="1">
        <v>17</v>
      </c>
      <c r="D13" s="1">
        <v>15</v>
      </c>
      <c r="E13" s="1">
        <v>22</v>
      </c>
      <c r="F13" s="1">
        <f>76-C13-D13-E13</f>
        <v>22</v>
      </c>
      <c r="G13" s="1">
        <v>27</v>
      </c>
      <c r="H13" s="1">
        <v>25</v>
      </c>
      <c r="I13" s="1">
        <v>27</v>
      </c>
      <c r="J13" s="1">
        <f>128-G13-H13-I13</f>
        <v>49</v>
      </c>
      <c r="K13" s="1">
        <v>93</v>
      </c>
      <c r="L13" s="1">
        <v>39</v>
      </c>
      <c r="M13" s="1">
        <v>40</v>
      </c>
      <c r="N13" s="1">
        <f>188-K13-L13-M13</f>
        <v>16</v>
      </c>
      <c r="O13" s="1">
        <v>41</v>
      </c>
      <c r="P13" s="1">
        <v>48</v>
      </c>
    </row>
    <row r="14" spans="2:16"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f>55-G14-H14-I14</f>
        <v>55</v>
      </c>
      <c r="K14" s="1">
        <v>0.1</v>
      </c>
      <c r="L14" s="1">
        <v>0.1</v>
      </c>
      <c r="M14" s="1">
        <v>0</v>
      </c>
      <c r="N14" s="1">
        <v>0</v>
      </c>
      <c r="O14" s="1">
        <v>772</v>
      </c>
      <c r="P14" s="1">
        <v>10</v>
      </c>
    </row>
    <row r="15" spans="2:16" s="4" customFormat="1">
      <c r="B15" s="4" t="s">
        <v>31</v>
      </c>
      <c r="C15" s="5">
        <f t="shared" ref="C15" si="0">SUM(C3:C14)</f>
        <v>377.89</v>
      </c>
      <c r="D15" s="5">
        <f t="shared" ref="D15" si="1">SUM(D3:D14)</f>
        <v>440.2</v>
      </c>
      <c r="E15" s="5">
        <f t="shared" ref="E15:F15" si="2">SUM(E3:E14)</f>
        <v>505.2</v>
      </c>
      <c r="F15" s="5">
        <f t="shared" si="2"/>
        <v>628.79999999999995</v>
      </c>
      <c r="G15" s="5">
        <f t="shared" ref="G15:J15" si="3">SUM(G3:G14)</f>
        <v>749.2</v>
      </c>
      <c r="H15" s="5">
        <f t="shared" si="3"/>
        <v>881.1</v>
      </c>
      <c r="I15" s="5">
        <f t="shared" si="3"/>
        <v>989.1</v>
      </c>
      <c r="J15" s="5">
        <f t="shared" si="3"/>
        <v>1137.0999999999999</v>
      </c>
      <c r="K15" s="5">
        <f>SUM(K3:K14)</f>
        <v>1172.1999999999998</v>
      </c>
      <c r="L15" s="5">
        <f>SUM(L3:L14)</f>
        <v>1124.1999999999998</v>
      </c>
      <c r="M15" s="5">
        <f>SUM(M3:M14)</f>
        <v>1191.0999999999999</v>
      </c>
      <c r="N15" s="5">
        <f>SUM(N3:N14)</f>
        <v>1370.1</v>
      </c>
      <c r="O15" s="5">
        <f>SUM(O3:O14)</f>
        <v>2025.1</v>
      </c>
      <c r="P15" s="5">
        <f>SUM(P3:P14)</f>
        <v>1417.2</v>
      </c>
    </row>
    <row r="16" spans="2:16">
      <c r="B16" t="s">
        <v>32</v>
      </c>
      <c r="C16" s="1">
        <v>70</v>
      </c>
      <c r="D16" s="1">
        <v>79</v>
      </c>
      <c r="E16" s="1">
        <v>83</v>
      </c>
      <c r="F16" s="1">
        <f>313-C16-D16-E16</f>
        <v>81</v>
      </c>
      <c r="G16" s="1">
        <v>84</v>
      </c>
      <c r="H16" s="1">
        <v>94</v>
      </c>
      <c r="I16" s="1">
        <v>98</v>
      </c>
      <c r="J16" s="1">
        <f>380-G16-H16-I16</f>
        <v>104</v>
      </c>
      <c r="K16" s="1">
        <v>100</v>
      </c>
      <c r="L16" s="1">
        <v>110</v>
      </c>
      <c r="M16" s="1">
        <v>124</v>
      </c>
      <c r="N16" s="1">
        <f>462-K16-L16-M16</f>
        <v>128</v>
      </c>
      <c r="O16" s="1">
        <v>136</v>
      </c>
      <c r="P16" s="1">
        <v>150</v>
      </c>
    </row>
    <row r="17" spans="2:16" s="4" customFormat="1">
      <c r="B17" s="4" t="s">
        <v>33</v>
      </c>
      <c r="C17" s="5">
        <f t="shared" ref="C17" si="4">+C15-C16</f>
        <v>307.89</v>
      </c>
      <c r="D17" s="5">
        <f t="shared" ref="D17" si="5">+D15-D16</f>
        <v>361.2</v>
      </c>
      <c r="E17" s="5">
        <f t="shared" ref="E17:F17" si="6">+E15-E16</f>
        <v>422.2</v>
      </c>
      <c r="F17" s="5">
        <f t="shared" si="6"/>
        <v>547.79999999999995</v>
      </c>
      <c r="G17" s="5">
        <f t="shared" ref="G17:J17" si="7">+G15-G16</f>
        <v>665.2</v>
      </c>
      <c r="H17" s="5">
        <f t="shared" si="7"/>
        <v>787.1</v>
      </c>
      <c r="I17" s="5">
        <f t="shared" si="7"/>
        <v>891.1</v>
      </c>
      <c r="J17" s="5">
        <f t="shared" si="7"/>
        <v>1033.0999999999999</v>
      </c>
      <c r="K17" s="5">
        <f>+K15-K16</f>
        <v>1072.1999999999998</v>
      </c>
      <c r="L17" s="5">
        <f>+L15-L16</f>
        <v>1014.1999999999998</v>
      </c>
      <c r="M17" s="5">
        <f>+M15-M16</f>
        <v>1067.0999999999999</v>
      </c>
      <c r="N17" s="5">
        <f>+N15-N16</f>
        <v>1242.0999999999999</v>
      </c>
      <c r="O17" s="5">
        <f>+O15-O16</f>
        <v>1889.1</v>
      </c>
      <c r="P17" s="5">
        <f>+P15-P16</f>
        <v>1267.2</v>
      </c>
    </row>
    <row r="18" spans="2:16">
      <c r="B18" t="s">
        <v>34</v>
      </c>
      <c r="C18" s="1">
        <v>82</v>
      </c>
      <c r="D18" s="1">
        <v>99</v>
      </c>
      <c r="E18" s="1">
        <v>111</v>
      </c>
      <c r="F18" s="1">
        <f>405-C18-D18-E18</f>
        <v>113</v>
      </c>
      <c r="G18" s="1">
        <v>117</v>
      </c>
      <c r="H18" s="1">
        <v>127</v>
      </c>
      <c r="I18" s="1">
        <v>126</v>
      </c>
      <c r="J18" s="1">
        <f>511-G18-H18-I18</f>
        <v>141</v>
      </c>
      <c r="K18" s="1">
        <v>131</v>
      </c>
      <c r="L18" s="1">
        <v>132</v>
      </c>
      <c r="M18" s="1">
        <v>140</v>
      </c>
      <c r="N18" s="1">
        <f>552-K18-L18-M18</f>
        <v>149</v>
      </c>
      <c r="O18" s="1">
        <v>156</v>
      </c>
      <c r="P18" s="1">
        <v>152</v>
      </c>
    </row>
    <row r="19" spans="2:16">
      <c r="B19" t="s">
        <v>35</v>
      </c>
      <c r="C19" s="1">
        <v>138</v>
      </c>
      <c r="D19" s="1">
        <v>144</v>
      </c>
      <c r="E19" s="1">
        <v>162</v>
      </c>
      <c r="F19" s="1">
        <f>618-C19-D19-E19</f>
        <v>174</v>
      </c>
      <c r="G19" s="1">
        <v>175</v>
      </c>
      <c r="H19" s="1">
        <v>183</v>
      </c>
      <c r="I19" s="1">
        <v>187</v>
      </c>
      <c r="J19" s="1">
        <f>719-G19-H19-I19</f>
        <v>174</v>
      </c>
      <c r="K19" s="1">
        <v>167</v>
      </c>
      <c r="L19" s="1">
        <v>185</v>
      </c>
      <c r="M19" s="1">
        <v>215</v>
      </c>
      <c r="N19" s="1">
        <f>796-K19-L19-M19</f>
        <v>229</v>
      </c>
      <c r="O19" s="1">
        <v>238</v>
      </c>
      <c r="P19" s="1">
        <v>265</v>
      </c>
    </row>
    <row r="20" spans="2:16">
      <c r="B20" t="s">
        <v>36</v>
      </c>
      <c r="C20" s="1">
        <v>137</v>
      </c>
      <c r="D20" s="1">
        <v>126</v>
      </c>
      <c r="E20" s="1">
        <v>126</v>
      </c>
      <c r="F20" s="1">
        <f>502-C20-D20-E20</f>
        <v>113</v>
      </c>
      <c r="G20" s="1">
        <v>124</v>
      </c>
      <c r="H20" s="1">
        <v>131</v>
      </c>
      <c r="I20" s="1">
        <v>124</v>
      </c>
      <c r="J20" s="1">
        <f>511-G20-H20-I20</f>
        <v>132</v>
      </c>
      <c r="K20" s="1">
        <v>145</v>
      </c>
      <c r="L20" s="1">
        <v>145</v>
      </c>
      <c r="M20" s="1">
        <v>149</v>
      </c>
      <c r="N20" s="1">
        <f>600-K20-L20-M20</f>
        <v>161</v>
      </c>
      <c r="O20" s="1">
        <v>156</v>
      </c>
      <c r="P20" s="1">
        <v>165</v>
      </c>
    </row>
    <row r="21" spans="2:16"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247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2:16">
      <c r="B22" t="s">
        <v>30</v>
      </c>
      <c r="C22" s="1">
        <v>13</v>
      </c>
      <c r="D22" s="1">
        <v>10</v>
      </c>
      <c r="E22" s="1">
        <v>16</v>
      </c>
      <c r="F22" s="1">
        <f>54-C22-D22-E22</f>
        <v>15</v>
      </c>
      <c r="G22" s="1">
        <v>8</v>
      </c>
      <c r="H22" s="1">
        <v>13</v>
      </c>
      <c r="I22" s="1">
        <v>22</v>
      </c>
      <c r="J22" s="1">
        <f>55-G22-H22-I22</f>
        <v>12</v>
      </c>
      <c r="K22" s="1">
        <v>7</v>
      </c>
      <c r="L22" s="1">
        <v>12</v>
      </c>
      <c r="M22" s="1">
        <v>6</v>
      </c>
      <c r="N22" s="1">
        <v>0</v>
      </c>
      <c r="O22" s="1">
        <v>0</v>
      </c>
      <c r="P22" s="1">
        <v>0</v>
      </c>
    </row>
    <row r="23" spans="2:16" s="4" customFormat="1">
      <c r="B23" s="4" t="s">
        <v>38</v>
      </c>
      <c r="C23" s="5">
        <f t="shared" ref="C23:E23" si="8">SUM(C18:C20)</f>
        <v>357</v>
      </c>
      <c r="D23" s="5">
        <f t="shared" si="8"/>
        <v>369</v>
      </c>
      <c r="E23" s="5">
        <f t="shared" si="8"/>
        <v>399</v>
      </c>
      <c r="F23" s="5">
        <f t="shared" ref="F23" si="9">SUM(F18:F20)</f>
        <v>400</v>
      </c>
      <c r="G23" s="5">
        <f t="shared" ref="G23:I23" si="10">SUM(G18:G20)</f>
        <v>416</v>
      </c>
      <c r="H23" s="5">
        <f t="shared" si="10"/>
        <v>441</v>
      </c>
      <c r="I23" s="5">
        <f t="shared" si="10"/>
        <v>437</v>
      </c>
      <c r="J23" s="5">
        <f t="shared" ref="J23" si="11">SUM(J18:J20)</f>
        <v>447</v>
      </c>
      <c r="K23" s="5">
        <f>SUM(K18:K22)</f>
        <v>450</v>
      </c>
      <c r="L23" s="5">
        <f>SUM(L18:L22)</f>
        <v>474</v>
      </c>
      <c r="M23" s="5">
        <f>SUM(M18:M22)</f>
        <v>510</v>
      </c>
      <c r="N23" s="5">
        <f>SUM(N18:N22)</f>
        <v>539</v>
      </c>
      <c r="O23" s="5">
        <f>SUM(O18:O20)</f>
        <v>550</v>
      </c>
      <c r="P23" s="5">
        <f>SUM(P18:P20)</f>
        <v>582</v>
      </c>
    </row>
    <row r="24" spans="2:16" s="4" customFormat="1">
      <c r="B24" s="4" t="s">
        <v>39</v>
      </c>
      <c r="C24" s="5">
        <f t="shared" ref="C24" si="12">+C17-C23</f>
        <v>-49.110000000000014</v>
      </c>
      <c r="D24" s="5">
        <f t="shared" ref="D24" si="13">+D17-D23</f>
        <v>-7.8000000000000114</v>
      </c>
      <c r="E24" s="5">
        <f t="shared" ref="E24:F24" si="14">+E17-E23</f>
        <v>23.199999999999989</v>
      </c>
      <c r="F24" s="5">
        <f t="shared" si="14"/>
        <v>147.79999999999995</v>
      </c>
      <c r="G24" s="5">
        <f t="shared" ref="G24:J24" si="15">+G17-G23</f>
        <v>249.20000000000005</v>
      </c>
      <c r="H24" s="5">
        <f t="shared" si="15"/>
        <v>346.1</v>
      </c>
      <c r="I24" s="5">
        <f t="shared" si="15"/>
        <v>454.1</v>
      </c>
      <c r="J24" s="5">
        <f t="shared" si="15"/>
        <v>586.09999999999991</v>
      </c>
      <c r="K24" s="5">
        <f>+K17-K23</f>
        <v>622.19999999999982</v>
      </c>
      <c r="L24" s="5">
        <f>+L17-L23</f>
        <v>540.19999999999982</v>
      </c>
      <c r="M24" s="5">
        <f>+M17-M23</f>
        <v>557.09999999999991</v>
      </c>
      <c r="N24" s="5">
        <f>+N17-N23</f>
        <v>703.09999999999991</v>
      </c>
      <c r="O24" s="5">
        <f>+O17-O23</f>
        <v>1339.1</v>
      </c>
      <c r="P24" s="5">
        <f>+P17-P23</f>
        <v>685.2</v>
      </c>
    </row>
    <row r="25" spans="2:16">
      <c r="B25" t="s">
        <v>40</v>
      </c>
      <c r="C25" s="1">
        <f t="shared" ref="C25" si="16">+C24</f>
        <v>-49.110000000000014</v>
      </c>
      <c r="D25" s="1">
        <f t="shared" ref="D25" si="17">+D24</f>
        <v>-7.8000000000000114</v>
      </c>
      <c r="E25" s="1">
        <f t="shared" ref="E25:F25" si="18">+E24</f>
        <v>23.199999999999989</v>
      </c>
      <c r="F25" s="1">
        <f t="shared" si="18"/>
        <v>147.79999999999995</v>
      </c>
      <c r="G25" s="1">
        <f t="shared" ref="G25:J25" si="19">+G24</f>
        <v>249.20000000000005</v>
      </c>
      <c r="H25" s="1">
        <f t="shared" si="19"/>
        <v>346.1</v>
      </c>
      <c r="I25" s="1">
        <f t="shared" si="19"/>
        <v>454.1</v>
      </c>
      <c r="J25" s="1">
        <f t="shared" si="19"/>
        <v>586.09999999999991</v>
      </c>
      <c r="K25" s="1">
        <v>662</v>
      </c>
      <c r="L25" s="1">
        <v>540</v>
      </c>
      <c r="M25" s="1">
        <v>557</v>
      </c>
      <c r="N25" s="1">
        <v>703</v>
      </c>
      <c r="O25" s="1">
        <f>+O24</f>
        <v>1339.1</v>
      </c>
      <c r="P25" s="1">
        <f>+P24</f>
        <v>685.2</v>
      </c>
    </row>
    <row r="26" spans="2:16">
      <c r="B26" t="s">
        <v>41</v>
      </c>
      <c r="C26" s="1">
        <v>-1</v>
      </c>
      <c r="D26" s="1">
        <v>0</v>
      </c>
      <c r="E26" s="1">
        <v>0.2</v>
      </c>
      <c r="F26" s="1">
        <f>2-C26-D26-E26</f>
        <v>2.8</v>
      </c>
      <c r="G26" s="1">
        <v>2</v>
      </c>
      <c r="H26" s="1">
        <v>2</v>
      </c>
      <c r="I26" s="1">
        <v>0.2</v>
      </c>
      <c r="J26" s="1">
        <v>0.2</v>
      </c>
      <c r="K26" s="1">
        <v>-6</v>
      </c>
      <c r="L26" s="1">
        <v>2</v>
      </c>
      <c r="M26" s="1">
        <v>-3</v>
      </c>
      <c r="N26" s="1">
        <f>265-K26-L26-M26</f>
        <v>272</v>
      </c>
      <c r="O26" s="1">
        <v>-9</v>
      </c>
      <c r="P26" s="1">
        <v>-15</v>
      </c>
    </row>
    <row r="27" spans="2:16" s="4" customFormat="1">
      <c r="B27" s="4" t="s">
        <v>42</v>
      </c>
      <c r="C27" s="5">
        <f t="shared" ref="C27" si="20">+C25-C26</f>
        <v>-48.110000000000014</v>
      </c>
      <c r="D27" s="5">
        <f t="shared" ref="D27" si="21">+D25-D26</f>
        <v>-7.8000000000000114</v>
      </c>
      <c r="E27" s="5">
        <f t="shared" ref="E27:F27" si="22">+E25-E26</f>
        <v>22.999999999999989</v>
      </c>
      <c r="F27" s="5">
        <f t="shared" si="22"/>
        <v>144.99999999999994</v>
      </c>
      <c r="G27" s="5">
        <f t="shared" ref="G27:J27" si="23">+G25-G26</f>
        <v>247.20000000000005</v>
      </c>
      <c r="H27" s="5">
        <f t="shared" si="23"/>
        <v>344.1</v>
      </c>
      <c r="I27" s="5">
        <f t="shared" si="23"/>
        <v>453.90000000000003</v>
      </c>
      <c r="J27" s="5">
        <f t="shared" si="23"/>
        <v>585.89999999999986</v>
      </c>
      <c r="K27" s="5">
        <f>+K25-K26</f>
        <v>668</v>
      </c>
      <c r="L27" s="5">
        <f>+L25-L26</f>
        <v>538</v>
      </c>
      <c r="M27" s="5">
        <f>+M25-M26</f>
        <v>560</v>
      </c>
      <c r="N27" s="5">
        <f>+N25-N26</f>
        <v>431</v>
      </c>
      <c r="O27" s="5">
        <f>+O25-O26</f>
        <v>1348.1</v>
      </c>
      <c r="P27" s="5">
        <f>+P25-P26</f>
        <v>700.2</v>
      </c>
    </row>
    <row r="28" spans="2:16" s="4" customFormat="1">
      <c r="B28" s="4" t="s">
        <v>43</v>
      </c>
      <c r="C28" s="6">
        <f t="shared" ref="C28" si="24">+C27/C29</f>
        <v>-5.6400937866354063E-2</v>
      </c>
      <c r="D28" s="6">
        <f t="shared" ref="D28" si="25">+D27/D29</f>
        <v>-8.571428571428584E-3</v>
      </c>
      <c r="E28" s="6">
        <f t="shared" ref="E28:F28" si="26">+E27/E29</f>
        <v>2.5081788440567056E-2</v>
      </c>
      <c r="F28" s="6">
        <f t="shared" si="26"/>
        <v>0.16093229744728074</v>
      </c>
      <c r="G28" s="6">
        <f t="shared" ref="G28:J28" si="27">+G27/G29</f>
        <v>0.2660925726587729</v>
      </c>
      <c r="H28" s="6">
        <f t="shared" si="27"/>
        <v>0.36723585912486661</v>
      </c>
      <c r="I28" s="6">
        <f t="shared" si="27"/>
        <v>0.47728706624605682</v>
      </c>
      <c r="J28" s="6">
        <f t="shared" si="27"/>
        <v>0.61999999999999988</v>
      </c>
      <c r="K28" s="6">
        <f>+K27/K29</f>
        <v>0.64107485604606529</v>
      </c>
      <c r="L28" s="6">
        <f>+L27/L29</f>
        <v>0.50802644003777153</v>
      </c>
      <c r="M28" s="6">
        <f>+M27/M29</f>
        <v>0.50724637681159424</v>
      </c>
      <c r="N28" s="6">
        <f>+N27/N29</f>
        <v>0.39146230699364215</v>
      </c>
      <c r="O28" s="6">
        <f>+O27/O29</f>
        <v>1.1376371308016877</v>
      </c>
      <c r="P28" s="6">
        <f>+P27/P29</f>
        <v>0.59188503803888426</v>
      </c>
    </row>
    <row r="29" spans="2:16">
      <c r="B29" t="s">
        <v>2</v>
      </c>
      <c r="C29" s="1">
        <v>853</v>
      </c>
      <c r="D29" s="1">
        <v>910</v>
      </c>
      <c r="E29" s="1">
        <v>917</v>
      </c>
      <c r="F29" s="1">
        <v>901</v>
      </c>
      <c r="G29" s="1">
        <v>929</v>
      </c>
      <c r="H29" s="1">
        <v>937</v>
      </c>
      <c r="I29" s="1">
        <v>951</v>
      </c>
      <c r="J29" s="1">
        <v>945</v>
      </c>
      <c r="K29" s="1">
        <v>1042</v>
      </c>
      <c r="L29" s="1">
        <v>1059</v>
      </c>
      <c r="M29" s="1">
        <v>1104</v>
      </c>
      <c r="N29" s="1">
        <v>1101</v>
      </c>
      <c r="O29" s="1">
        <v>1185</v>
      </c>
      <c r="P29" s="1">
        <v>1183</v>
      </c>
    </row>
    <row r="31" spans="2:16">
      <c r="B31" t="s">
        <v>44</v>
      </c>
      <c r="C31" s="1">
        <f t="shared" ref="C31:E31" si="28">2122+592+2375</f>
        <v>5089</v>
      </c>
      <c r="D31" s="1">
        <f>707+292</f>
        <v>999</v>
      </c>
      <c r="E31" s="1">
        <f>935+326+195</f>
        <v>1456</v>
      </c>
      <c r="F31" s="1">
        <f>1422+424+397</f>
        <v>2243</v>
      </c>
      <c r="G31" s="1">
        <f t="shared" ref="G31:I31" si="29">2122+592+2375</f>
        <v>5089</v>
      </c>
      <c r="H31" s="1">
        <f>3016+485+548</f>
        <v>4049</v>
      </c>
      <c r="I31" s="1">
        <f>2813+483+580</f>
        <v>3876</v>
      </c>
      <c r="J31" s="1">
        <f>2813+483+580</f>
        <v>3876</v>
      </c>
      <c r="K31" s="1">
        <f>3693+455+973</f>
        <v>5121</v>
      </c>
      <c r="L31" s="1">
        <f>3693+455+973</f>
        <v>5121</v>
      </c>
      <c r="M31" s="1">
        <f>2335+397+1566</f>
        <v>4298</v>
      </c>
      <c r="N31" s="1">
        <f>2538+171+1896</f>
        <v>4605</v>
      </c>
      <c r="O31" s="1">
        <f>2086+630+2153</f>
        <v>4869</v>
      </c>
      <c r="P31" s="1">
        <f>2122+592+2375</f>
        <v>5089</v>
      </c>
    </row>
    <row r="32" spans="2:16">
      <c r="B32" t="s">
        <v>45</v>
      </c>
      <c r="C32" s="1">
        <v>20063</v>
      </c>
      <c r="D32" s="1">
        <v>8212</v>
      </c>
      <c r="E32" s="1">
        <v>11204</v>
      </c>
      <c r="F32" s="1">
        <v>13557</v>
      </c>
      <c r="G32" s="1">
        <v>20063</v>
      </c>
      <c r="H32" s="1">
        <v>18214</v>
      </c>
      <c r="I32" s="1">
        <v>20994</v>
      </c>
      <c r="J32" s="1">
        <v>20994</v>
      </c>
      <c r="K32" s="1">
        <v>15116</v>
      </c>
      <c r="L32" s="1">
        <v>15116</v>
      </c>
      <c r="M32" s="1">
        <v>15894</v>
      </c>
      <c r="N32" s="1">
        <v>17685</v>
      </c>
      <c r="O32" s="1">
        <v>18226</v>
      </c>
      <c r="P32" s="1">
        <v>20063</v>
      </c>
    </row>
    <row r="33" spans="2:16">
      <c r="B33" t="s">
        <v>46</v>
      </c>
      <c r="C33" s="1">
        <v>10742</v>
      </c>
      <c r="D33" s="1">
        <v>0</v>
      </c>
      <c r="E33" s="1">
        <v>262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6834</v>
      </c>
      <c r="L33" s="1">
        <v>6834</v>
      </c>
      <c r="M33" s="1">
        <v>7195</v>
      </c>
      <c r="N33" s="1">
        <v>8597</v>
      </c>
      <c r="O33" s="1">
        <v>9571</v>
      </c>
      <c r="P33" s="1">
        <v>10742</v>
      </c>
    </row>
    <row r="34" spans="2:16">
      <c r="B34" t="s">
        <v>47</v>
      </c>
      <c r="C34" s="1">
        <v>1414</v>
      </c>
      <c r="D34" s="1">
        <v>1414</v>
      </c>
      <c r="E34" s="1">
        <v>195</v>
      </c>
      <c r="F34" s="1">
        <v>308</v>
      </c>
      <c r="G34" s="1">
        <v>1414</v>
      </c>
      <c r="H34" s="1">
        <v>348</v>
      </c>
      <c r="I34" s="1">
        <v>361</v>
      </c>
      <c r="J34" s="1">
        <v>361</v>
      </c>
      <c r="K34" s="1">
        <v>1250</v>
      </c>
      <c r="L34" s="1">
        <v>1250</v>
      </c>
      <c r="M34" s="1">
        <v>2173</v>
      </c>
      <c r="N34" s="1">
        <v>1246</v>
      </c>
      <c r="O34" s="1">
        <v>1296</v>
      </c>
      <c r="P34" s="1">
        <v>1414</v>
      </c>
    </row>
    <row r="35" spans="2:16">
      <c r="B35" t="s">
        <v>48</v>
      </c>
      <c r="C35" s="1">
        <v>375</v>
      </c>
      <c r="D35" s="1">
        <v>177</v>
      </c>
      <c r="E35" s="1">
        <v>168</v>
      </c>
      <c r="F35" s="1">
        <v>150</v>
      </c>
      <c r="G35" s="1">
        <v>375</v>
      </c>
      <c r="H35" s="1">
        <v>146</v>
      </c>
      <c r="I35" s="1">
        <v>143</v>
      </c>
      <c r="J35" s="1">
        <v>143</v>
      </c>
      <c r="K35" s="1">
        <v>241</v>
      </c>
      <c r="L35" s="1">
        <v>241</v>
      </c>
      <c r="M35" s="1">
        <v>291</v>
      </c>
      <c r="N35" s="1">
        <v>342</v>
      </c>
      <c r="O35" s="1">
        <v>390</v>
      </c>
      <c r="P35" s="1">
        <v>375</v>
      </c>
    </row>
    <row r="36" spans="2:16">
      <c r="B36" t="s">
        <v>49</v>
      </c>
      <c r="C36" s="1">
        <v>355</v>
      </c>
      <c r="D36" s="1">
        <v>149</v>
      </c>
      <c r="E36" s="1">
        <v>0</v>
      </c>
      <c r="F36" s="1">
        <v>170</v>
      </c>
      <c r="G36" s="1">
        <v>355</v>
      </c>
      <c r="H36" s="1">
        <v>191</v>
      </c>
      <c r="I36" s="1">
        <v>202</v>
      </c>
      <c r="J36" s="1">
        <v>202</v>
      </c>
      <c r="K36" s="1">
        <v>228</v>
      </c>
      <c r="L36" s="1">
        <v>228</v>
      </c>
      <c r="M36" s="1">
        <v>246</v>
      </c>
      <c r="N36" s="1">
        <v>288</v>
      </c>
      <c r="O36" s="1">
        <v>317</v>
      </c>
      <c r="P36" s="1">
        <v>355</v>
      </c>
    </row>
    <row r="37" spans="2:16">
      <c r="B37" t="s">
        <v>37</v>
      </c>
      <c r="C37" s="1">
        <v>1394</v>
      </c>
      <c r="D37" s="1">
        <v>1625</v>
      </c>
      <c r="E37" s="1">
        <v>1623</v>
      </c>
      <c r="F37" s="1">
        <v>1623</v>
      </c>
      <c r="G37" s="1">
        <v>1394</v>
      </c>
      <c r="H37" s="1">
        <v>1641</v>
      </c>
      <c r="I37" s="1">
        <v>1394</v>
      </c>
      <c r="J37" s="1">
        <v>1394</v>
      </c>
      <c r="K37" s="1">
        <v>1394</v>
      </c>
      <c r="L37" s="1">
        <v>1394</v>
      </c>
      <c r="M37" s="1">
        <v>1393</v>
      </c>
      <c r="N37" s="1">
        <v>1394</v>
      </c>
      <c r="O37" s="1">
        <v>1394</v>
      </c>
      <c r="P37" s="1">
        <v>1394</v>
      </c>
    </row>
    <row r="38" spans="2:16">
      <c r="B38" t="s">
        <v>50</v>
      </c>
      <c r="C38" s="1">
        <v>264</v>
      </c>
      <c r="D38" s="1">
        <v>481</v>
      </c>
      <c r="E38" s="1">
        <v>457</v>
      </c>
      <c r="F38" s="1">
        <v>442</v>
      </c>
      <c r="G38" s="1">
        <v>264</v>
      </c>
      <c r="H38" s="1">
        <v>412</v>
      </c>
      <c r="I38" s="1">
        <v>387</v>
      </c>
      <c r="J38" s="1">
        <v>387</v>
      </c>
      <c r="K38" s="1">
        <v>347</v>
      </c>
      <c r="L38" s="1">
        <v>347</v>
      </c>
      <c r="M38" s="1">
        <v>331</v>
      </c>
      <c r="N38" s="1">
        <v>298</v>
      </c>
      <c r="O38" s="1">
        <v>280</v>
      </c>
      <c r="P38" s="1">
        <v>264</v>
      </c>
    </row>
    <row r="39" spans="2:16">
      <c r="B39" t="s">
        <v>51</v>
      </c>
      <c r="C39" s="1">
        <v>77</v>
      </c>
      <c r="D39" s="1">
        <v>109</v>
      </c>
      <c r="E39" s="1">
        <v>100</v>
      </c>
      <c r="F39" s="1">
        <v>97</v>
      </c>
      <c r="G39" s="1">
        <v>77</v>
      </c>
      <c r="H39" s="1">
        <v>95</v>
      </c>
      <c r="I39" s="1">
        <v>93</v>
      </c>
      <c r="J39" s="1">
        <v>93</v>
      </c>
      <c r="K39" s="1">
        <v>88</v>
      </c>
      <c r="L39" s="1">
        <v>88</v>
      </c>
      <c r="M39" s="1">
        <v>84</v>
      </c>
      <c r="N39" s="1">
        <v>81</v>
      </c>
      <c r="O39" s="1">
        <v>78</v>
      </c>
      <c r="P39" s="1">
        <v>77</v>
      </c>
    </row>
    <row r="40" spans="2:16">
      <c r="B40" t="s">
        <v>22</v>
      </c>
      <c r="C40" s="1">
        <v>1341</v>
      </c>
      <c r="D40" s="1">
        <v>432</v>
      </c>
      <c r="E40" s="1">
        <v>399</v>
      </c>
      <c r="F40" s="1">
        <v>417</v>
      </c>
      <c r="G40" s="1">
        <v>1341</v>
      </c>
      <c r="H40" s="1">
        <v>467</v>
      </c>
      <c r="I40" s="1">
        <v>527</v>
      </c>
      <c r="J40" s="1">
        <v>527</v>
      </c>
      <c r="K40" s="1">
        <v>687</v>
      </c>
      <c r="L40" s="1">
        <v>687</v>
      </c>
      <c r="M40" s="1">
        <v>737</v>
      </c>
      <c r="N40" s="1">
        <v>1714</v>
      </c>
      <c r="O40" s="1">
        <v>1328</v>
      </c>
      <c r="P40" s="1">
        <v>1341</v>
      </c>
    </row>
    <row r="41" spans="2:16" s="4" customFormat="1">
      <c r="B41" s="4" t="s">
        <v>52</v>
      </c>
      <c r="C41" s="5">
        <f t="shared" ref="C41" si="30">SUM(C29:C40)</f>
        <v>41967</v>
      </c>
      <c r="D41" s="5">
        <f t="shared" ref="D41" si="31">SUM(D29:D40)</f>
        <v>14508</v>
      </c>
      <c r="E41" s="5">
        <f t="shared" ref="E41:F41" si="32">SUM(E29:E40)</f>
        <v>16781</v>
      </c>
      <c r="F41" s="5">
        <f t="shared" si="32"/>
        <v>19908</v>
      </c>
      <c r="G41" s="5">
        <f t="shared" ref="G41:J41" si="33">SUM(G29:G40)</f>
        <v>31301</v>
      </c>
      <c r="H41" s="5">
        <f t="shared" si="33"/>
        <v>26500</v>
      </c>
      <c r="I41" s="5">
        <f t="shared" si="33"/>
        <v>28928</v>
      </c>
      <c r="J41" s="5">
        <f t="shared" si="33"/>
        <v>28922</v>
      </c>
      <c r="K41" s="5">
        <f>SUM(K29:K40)</f>
        <v>32348</v>
      </c>
      <c r="L41" s="5">
        <f>SUM(L29:L40)</f>
        <v>32365</v>
      </c>
      <c r="M41" s="5">
        <f>SUM(M29:M40)</f>
        <v>33746</v>
      </c>
      <c r="N41" s="5">
        <f>SUM(N29:N40)</f>
        <v>37351</v>
      </c>
      <c r="O41" s="5">
        <f>SUM(O29:O40)</f>
        <v>38934</v>
      </c>
      <c r="P41" s="5">
        <f>SUM(P29:P40)</f>
        <v>42297</v>
      </c>
    </row>
    <row r="42" spans="2:16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16">
      <c r="B43" t="s">
        <v>53</v>
      </c>
      <c r="C43" s="1">
        <v>29411</v>
      </c>
      <c r="D43" s="1">
        <v>2629</v>
      </c>
      <c r="E43" s="1">
        <v>4942</v>
      </c>
      <c r="F43" s="1">
        <v>7266</v>
      </c>
      <c r="G43" s="1">
        <v>29411</v>
      </c>
      <c r="H43" s="1">
        <v>12672</v>
      </c>
      <c r="I43" s="1">
        <v>15607</v>
      </c>
      <c r="J43" s="1">
        <v>15607</v>
      </c>
      <c r="K43" s="1">
        <v>21550</v>
      </c>
      <c r="L43" s="1">
        <v>21550</v>
      </c>
      <c r="M43" s="1">
        <v>22946</v>
      </c>
      <c r="N43" s="1">
        <v>25861</v>
      </c>
      <c r="O43" s="1">
        <v>27136</v>
      </c>
      <c r="P43" s="1">
        <v>29411</v>
      </c>
    </row>
    <row r="44" spans="2:16">
      <c r="B44" t="s">
        <v>54</v>
      </c>
      <c r="C44" s="1">
        <v>130</v>
      </c>
      <c r="D44" s="1">
        <v>83</v>
      </c>
      <c r="E44" s="1">
        <v>90</v>
      </c>
      <c r="F44" s="1">
        <v>77</v>
      </c>
      <c r="G44" s="1">
        <v>130</v>
      </c>
      <c r="H44" s="1">
        <v>68</v>
      </c>
      <c r="I44" s="1">
        <v>65</v>
      </c>
      <c r="J44" s="1">
        <v>65</v>
      </c>
      <c r="K44" s="1">
        <v>54</v>
      </c>
      <c r="L44" s="1">
        <v>54</v>
      </c>
      <c r="M44" s="1">
        <v>51</v>
      </c>
      <c r="N44" s="1">
        <v>117</v>
      </c>
      <c r="O44" s="1">
        <v>120</v>
      </c>
      <c r="P44" s="1">
        <v>130</v>
      </c>
    </row>
    <row r="45" spans="2:16">
      <c r="B45" t="s">
        <v>55</v>
      </c>
      <c r="C45" s="1">
        <v>676</v>
      </c>
      <c r="D45" s="1">
        <v>542</v>
      </c>
      <c r="E45" s="1">
        <v>566</v>
      </c>
      <c r="F45" s="1">
        <v>516</v>
      </c>
      <c r="G45" s="1">
        <v>676</v>
      </c>
      <c r="H45" s="1">
        <v>632</v>
      </c>
      <c r="I45" s="1">
        <v>566</v>
      </c>
      <c r="J45" s="1">
        <v>566</v>
      </c>
      <c r="K45" s="1">
        <v>554</v>
      </c>
      <c r="L45" s="1">
        <v>554</v>
      </c>
      <c r="M45" s="1">
        <v>535</v>
      </c>
      <c r="N45" s="1">
        <v>557</v>
      </c>
      <c r="O45" s="1">
        <v>674</v>
      </c>
      <c r="P45" s="1">
        <v>676</v>
      </c>
    </row>
    <row r="46" spans="2:16">
      <c r="B46" t="s">
        <v>56</v>
      </c>
      <c r="C46" s="1">
        <v>91</v>
      </c>
      <c r="D46" s="1">
        <v>132</v>
      </c>
      <c r="E46" s="1">
        <v>122</v>
      </c>
      <c r="F46" s="1">
        <v>118</v>
      </c>
      <c r="G46" s="1">
        <v>91</v>
      </c>
      <c r="H46" s="1">
        <v>115</v>
      </c>
      <c r="I46" s="1">
        <v>113</v>
      </c>
      <c r="J46" s="1">
        <v>113</v>
      </c>
      <c r="K46" s="1">
        <v>106</v>
      </c>
      <c r="L46" s="1">
        <v>106</v>
      </c>
      <c r="M46" s="1">
        <v>101</v>
      </c>
      <c r="N46" s="1">
        <v>97</v>
      </c>
      <c r="O46" s="1">
        <v>93</v>
      </c>
      <c r="P46" s="1">
        <v>91</v>
      </c>
    </row>
    <row r="47" spans="2:16">
      <c r="B47" t="s">
        <v>5</v>
      </c>
      <c r="C47" s="1">
        <v>3943</v>
      </c>
      <c r="D47" s="1">
        <v>3723</v>
      </c>
      <c r="E47" s="1">
        <v>4569</v>
      </c>
      <c r="F47" s="1">
        <v>5486</v>
      </c>
      <c r="G47" s="1">
        <v>3943</v>
      </c>
      <c r="H47" s="1">
        <v>6484</v>
      </c>
      <c r="I47" s="1">
        <v>6241</v>
      </c>
      <c r="J47" s="1">
        <v>6241</v>
      </c>
      <c r="K47" s="1">
        <v>2891</v>
      </c>
      <c r="L47" s="1">
        <v>2891</v>
      </c>
      <c r="M47" s="1">
        <v>3106</v>
      </c>
      <c r="N47" s="1">
        <v>3092</v>
      </c>
      <c r="O47" s="1">
        <v>3046</v>
      </c>
      <c r="P47" s="1">
        <v>3943</v>
      </c>
    </row>
    <row r="48" spans="2:16">
      <c r="B48" t="s">
        <v>57</v>
      </c>
      <c r="C48" s="1">
        <v>1</v>
      </c>
      <c r="D48" s="1">
        <v>54</v>
      </c>
      <c r="E48" s="1">
        <v>46</v>
      </c>
      <c r="F48" s="1">
        <v>17</v>
      </c>
      <c r="G48" s="1">
        <v>1</v>
      </c>
      <c r="H48" s="1">
        <v>11</v>
      </c>
      <c r="I48" s="1">
        <v>10</v>
      </c>
      <c r="J48" s="1">
        <v>10</v>
      </c>
      <c r="K48" s="1">
        <v>4</v>
      </c>
      <c r="L48" s="1">
        <v>4</v>
      </c>
      <c r="M48" s="1">
        <v>1</v>
      </c>
      <c r="N48" s="1">
        <v>1</v>
      </c>
      <c r="O48" s="1">
        <v>1</v>
      </c>
      <c r="P48" s="1">
        <v>1</v>
      </c>
    </row>
    <row r="49" spans="2:16">
      <c r="B49" t="s">
        <v>58</v>
      </c>
      <c r="C49" s="1">
        <f t="shared" ref="C49" si="34">SUM(C43:C48)</f>
        <v>34252</v>
      </c>
      <c r="D49" s="1">
        <f t="shared" ref="D49" si="35">SUM(D43:D48)</f>
        <v>7163</v>
      </c>
      <c r="E49" s="1">
        <f t="shared" ref="E49:F49" si="36">SUM(E43:E48)</f>
        <v>10335</v>
      </c>
      <c r="F49" s="1">
        <f t="shared" si="36"/>
        <v>13480</v>
      </c>
      <c r="G49" s="1">
        <f t="shared" ref="G49:J49" si="37">SUM(G43:G48)</f>
        <v>34252</v>
      </c>
      <c r="H49" s="1">
        <f t="shared" si="37"/>
        <v>19982</v>
      </c>
      <c r="I49" s="1">
        <f t="shared" si="37"/>
        <v>22602</v>
      </c>
      <c r="J49" s="1">
        <f t="shared" si="37"/>
        <v>22602</v>
      </c>
      <c r="K49" s="1">
        <f>SUM(K43:K48)</f>
        <v>25159</v>
      </c>
      <c r="L49" s="1">
        <f>SUM(L43:L48)</f>
        <v>25159</v>
      </c>
      <c r="M49" s="1">
        <f>SUM(M43:M48)</f>
        <v>26740</v>
      </c>
      <c r="N49" s="1">
        <f>SUM(N43:N48)</f>
        <v>29725</v>
      </c>
      <c r="O49" s="1">
        <f>SUM(O43:O48)</f>
        <v>31070</v>
      </c>
      <c r="P49" s="1">
        <f>SUM(P43:P48)</f>
        <v>34252</v>
      </c>
    </row>
    <row r="50" spans="2:16" s="4" customFormat="1">
      <c r="B50" s="4" t="s">
        <v>59</v>
      </c>
      <c r="C50" s="5">
        <f t="shared" ref="C50" si="38">SUM(C43:C49)</f>
        <v>68504</v>
      </c>
      <c r="D50" s="5">
        <f t="shared" ref="D50" si="39">SUM(D43:D49)</f>
        <v>14326</v>
      </c>
      <c r="E50" s="5">
        <f t="shared" ref="E50:F50" si="40">SUM(E43:E49)</f>
        <v>20670</v>
      </c>
      <c r="F50" s="5">
        <f t="shared" si="40"/>
        <v>26960</v>
      </c>
      <c r="G50" s="5">
        <f t="shared" ref="G50:J50" si="41">SUM(G43:G49)</f>
        <v>68504</v>
      </c>
      <c r="H50" s="5">
        <f t="shared" si="41"/>
        <v>39964</v>
      </c>
      <c r="I50" s="5">
        <f t="shared" si="41"/>
        <v>45204</v>
      </c>
      <c r="J50" s="5">
        <f t="shared" si="41"/>
        <v>45204</v>
      </c>
      <c r="K50" s="5">
        <f>SUM(K43:K49)</f>
        <v>50318</v>
      </c>
      <c r="L50" s="5">
        <f>SUM(L43:L49)</f>
        <v>50318</v>
      </c>
      <c r="M50" s="5">
        <f>SUM(M43:M49)</f>
        <v>53480</v>
      </c>
      <c r="N50" s="5">
        <f>SUM(N43:N49)</f>
        <v>59450</v>
      </c>
      <c r="O50" s="5">
        <f>SUM(O43:O49)</f>
        <v>62140</v>
      </c>
      <c r="P50" s="5">
        <f>SUM(P43:P49)</f>
        <v>68504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Toth, Mr. Tim P.</cp:lastModifiedBy>
  <cp:revision/>
  <dcterms:created xsi:type="dcterms:W3CDTF">2025-10-30T16:31:26Z</dcterms:created>
  <dcterms:modified xsi:type="dcterms:W3CDTF">2025-11-02T01:57:35Z</dcterms:modified>
  <cp:category/>
  <cp:contentStatus/>
</cp:coreProperties>
</file>