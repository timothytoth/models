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xr:revisionPtr revIDLastSave="93" documentId="11_0B1D56BE9CDCCE836B02CE7A5FB0D4A9BBFD1C62" xr6:coauthVersionLast="47" xr6:coauthVersionMax="47" xr10:uidLastSave="{D249F7B3-6C30-4154-A3C5-8B9592274D83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2" l="1"/>
  <c r="L14" i="2"/>
  <c r="L12" i="2"/>
  <c r="L10" i="2"/>
  <c r="L9" i="2"/>
  <c r="L5" i="2"/>
  <c r="J5" i="1"/>
</calcChain>
</file>

<file path=xl/sharedStrings.xml><?xml version="1.0" encoding="utf-8"?>
<sst xmlns="http://schemas.openxmlformats.org/spreadsheetml/2006/main" count="32" uniqueCount="31">
  <si>
    <t>DVLT</t>
  </si>
  <si>
    <t>Price</t>
  </si>
  <si>
    <t>Shares</t>
  </si>
  <si>
    <t>MC</t>
  </si>
  <si>
    <t>Cash</t>
  </si>
  <si>
    <t>Debt</t>
  </si>
  <si>
    <t>EV</t>
  </si>
  <si>
    <t>Main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</si>
  <si>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</si>
  <si>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</si>
  <si>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</si>
  <si>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</si>
  <si>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</si>
  <si>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</si>
  <si>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</si>
  <si>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</si>
  <si>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</si>
  <si>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</si>
  <si>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Revenue</t>
  </si>
  <si>
    <t>COGS</t>
  </si>
  <si>
    <t>Gross Profit</t>
  </si>
  <si>
    <t>R&amp;D</t>
  </si>
  <si>
    <t>S&amp;M</t>
  </si>
  <si>
    <t>G&amp;A</t>
  </si>
  <si>
    <t>Operating Expenses</t>
  </si>
  <si>
    <t>Operating Income</t>
  </si>
  <si>
    <t>Interest Income</t>
  </si>
  <si>
    <t>Pretax Income</t>
  </si>
  <si>
    <t>Taxes</t>
  </si>
  <si>
    <t>Net Income</t>
  </si>
  <si>
    <t>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</si>
</sst>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J8"/>
  <sheetViews>
    <sheetView workbookViewId="0">
      <selection activeCell="J5" sqref="J5"/>
    </sheetView>
  </sheetViews>
  <sheetFormatPr defaultRowHeight="15"/>
  <sheetData>
    <row r="2" spans="4:10">
      <c r="D2" t="s">
        <v>0</v>
      </c>
    </row>
    <row r="3" spans="4:10">
      <c r="I3" t="s">
        <v>1</v>
      </c>
      <c r="J3">
        <v>3</v>
      </c>
    </row>
    <row r="4" spans="4:10">
      <c r="I4" t="s">
        <v>2</v>
      </c>
      <c r="J4">
        <v>97</v>
      </c>
    </row>
    <row r="5" spans="4:10">
      <c r="I5" t="s">
        <v>3</v>
      </c>
      <c r="J5">
        <f>+J4*J3</f>
        <v>291</v>
      </c>
    </row>
    <row r="6" spans="4:10">
      <c r="I6" t="s">
        <v>4</v>
      </c>
    </row>
    <row r="7" spans="4:10">
      <c r="I7" t="s">
        <v>5</v>
      </c>
    </row>
    <row r="8" spans="4:10">
      <c r="I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00FB9-89D7-450B-9871-A760F61CA40C}">
  <dimension ref="A1:L21"/>
  <sheetViews>
    <sheetView tabSelected="1" workbookViewId="0">
      <pane xSplit="2" ySplit="2" topLeftCell="H5" activePane="bottomRight" state="frozen"/>
      <selection pane="bottomRight" activeCell="L11" sqref="L11"/>
      <selection pane="bottomLeft"/>
      <selection pane="topRight"/>
    </sheetView>
  </sheetViews>
  <sheetFormatPr defaultRowHeight="15"/>
  <cols>
    <col min="2" max="2" width="19" bestFit="1" customWidth="1"/>
    <col min="12" max="12" width="11" bestFit="1" customWidth="1"/>
  </cols>
  <sheetData>
    <row r="1" spans="1:12">
      <c r="A1" t="s">
        <v>7</v>
      </c>
    </row>
    <row r="2" spans="1:12"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2" t="s">
        <v>13</v>
      </c>
      <c r="I2" s="1" t="s">
        <v>14</v>
      </c>
      <c r="J2" s="1" t="s">
        <v>15</v>
      </c>
      <c r="K2" s="1" t="s">
        <v>16</v>
      </c>
      <c r="L2" s="2" t="s">
        <v>17</v>
      </c>
    </row>
    <row r="3" spans="1:12">
      <c r="B3" t="s">
        <v>18</v>
      </c>
      <c r="L3" s="3">
        <v>1735</v>
      </c>
    </row>
    <row r="4" spans="1:12">
      <c r="B4" t="s">
        <v>19</v>
      </c>
      <c r="L4" s="3">
        <v>1700</v>
      </c>
    </row>
    <row r="5" spans="1:12" s="4" customFormat="1">
      <c r="B5" s="4" t="s">
        <v>20</v>
      </c>
      <c r="L5" s="5">
        <f>+L3-L4</f>
        <v>35</v>
      </c>
    </row>
    <row r="6" spans="1:12">
      <c r="B6" t="s">
        <v>21</v>
      </c>
      <c r="L6" s="3">
        <v>4224</v>
      </c>
    </row>
    <row r="7" spans="1:12">
      <c r="B7" t="s">
        <v>22</v>
      </c>
      <c r="L7" s="3">
        <v>1742</v>
      </c>
    </row>
    <row r="8" spans="1:12">
      <c r="B8" t="s">
        <v>23</v>
      </c>
      <c r="L8" s="3">
        <v>6528</v>
      </c>
    </row>
    <row r="9" spans="1:12" s="4" customFormat="1">
      <c r="B9" s="4" t="s">
        <v>24</v>
      </c>
      <c r="L9" s="5">
        <f>SUM(L6:L8)</f>
        <v>12494</v>
      </c>
    </row>
    <row r="10" spans="1:12" s="4" customFormat="1">
      <c r="B10" s="4" t="s">
        <v>25</v>
      </c>
      <c r="L10" s="5">
        <f>+L5-L9</f>
        <v>-12459</v>
      </c>
    </row>
    <row r="11" spans="1:12">
      <c r="B11" t="s">
        <v>26</v>
      </c>
      <c r="L11" s="3">
        <v>17202</v>
      </c>
    </row>
    <row r="12" spans="1:12">
      <c r="B12" t="s">
        <v>27</v>
      </c>
      <c r="L12" s="3">
        <f>+L11-L10</f>
        <v>29661</v>
      </c>
    </row>
    <row r="13" spans="1:12">
      <c r="B13" t="s">
        <v>28</v>
      </c>
      <c r="L13" s="3">
        <v>5</v>
      </c>
    </row>
    <row r="14" spans="1:12" s="4" customFormat="1">
      <c r="B14" s="4" t="s">
        <v>29</v>
      </c>
      <c r="L14" s="5">
        <f>+L12-L13</f>
        <v>29656</v>
      </c>
    </row>
    <row r="15" spans="1:12" s="4" customFormat="1">
      <c r="B15" s="4" t="s">
        <v>30</v>
      </c>
      <c r="K15" s="5"/>
      <c r="L15" s="6">
        <f>L14/(L16*1000)</f>
        <v>0.43611764705882355</v>
      </c>
    </row>
    <row r="16" spans="1:12">
      <c r="B16" t="s">
        <v>2</v>
      </c>
      <c r="L16" s="3">
        <v>68</v>
      </c>
    </row>
    <row r="17" spans="12:12">
      <c r="L17" s="3"/>
    </row>
    <row r="18" spans="12:12">
      <c r="L18" s="3"/>
    </row>
    <row r="19" spans="12:12">
      <c r="L19" s="3"/>
    </row>
    <row r="20" spans="12:12">
      <c r="L20" s="3"/>
    </row>
    <row r="21" spans="12:12">
      <c r="L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Toth, Mr. Tim P.</cp:lastModifiedBy>
  <cp:revision/>
  <dcterms:created xsi:type="dcterms:W3CDTF">2025-10-21T19:12:15Z</dcterms:created>
  <dcterms:modified xsi:type="dcterms:W3CDTF">2025-10-24T17:24:56Z</dcterms:modified>
  <cp:category/>
  <cp:contentStatus/>
</cp:coreProperties>
</file>