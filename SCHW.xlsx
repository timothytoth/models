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shkre\code\models\"/>
    </mc:Choice>
  </mc:AlternateContent>
  <xr:revisionPtr revIDLastSave="366" documentId="13_ncr:1_{0BDD38F0-D1CD-429E-B0B9-5A543F49C5C3}" xr6:coauthVersionLast="47" xr6:coauthVersionMax="47" xr10:uidLastSave="{DAC7CCC0-6064-4961-8050-DB786443376A}"/>
  <bookViews>
    <workbookView xWindow="-21555" yWindow="375" windowWidth="21060" windowHeight="17130" activeTab="1" xr2:uid="{15B6BB99-49CE-4E25-AC80-7FF10E298664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2" l="1"/>
  <c r="O35" i="2"/>
  <c r="N35" i="2"/>
  <c r="M35" i="2"/>
  <c r="K35" i="2"/>
  <c r="P35" i="2"/>
  <c r="N30" i="2"/>
  <c r="N27" i="2"/>
  <c r="N26" i="2"/>
  <c r="N25" i="2"/>
  <c r="N24" i="2"/>
  <c r="N23" i="2"/>
  <c r="N22" i="2"/>
  <c r="N21" i="2"/>
  <c r="N20" i="2"/>
  <c r="N19" i="2"/>
  <c r="N16" i="2"/>
  <c r="N15" i="2"/>
  <c r="N13" i="2"/>
  <c r="N12" i="2"/>
  <c r="N57" i="2"/>
  <c r="N58" i="2" s="1"/>
  <c r="N48" i="2"/>
  <c r="N28" i="2"/>
  <c r="N14" i="2"/>
  <c r="K17" i="2"/>
  <c r="L63" i="2"/>
  <c r="L17" i="2"/>
  <c r="M17" i="2"/>
  <c r="K57" i="2"/>
  <c r="K58" i="2" s="1"/>
  <c r="K48" i="2"/>
  <c r="K28" i="2"/>
  <c r="K14" i="2"/>
  <c r="K18" i="2" s="1"/>
  <c r="K29" i="2" s="1"/>
  <c r="K31" i="2" s="1"/>
  <c r="K32" i="2" s="1"/>
  <c r="L57" i="2"/>
  <c r="L58" i="2" s="1"/>
  <c r="L48" i="2"/>
  <c r="L28" i="2"/>
  <c r="L14" i="2"/>
  <c r="L18" i="2" s="1"/>
  <c r="L29" i="2" s="1"/>
  <c r="L31" i="2" s="1"/>
  <c r="L32" i="2" s="1"/>
  <c r="M57" i="2"/>
  <c r="M58" i="2" s="1"/>
  <c r="M48" i="2"/>
  <c r="M28" i="2"/>
  <c r="M14" i="2"/>
  <c r="M18" i="2" s="1"/>
  <c r="M29" i="2" s="1"/>
  <c r="M31" i="2" s="1"/>
  <c r="M32" i="2" s="1"/>
  <c r="O17" i="2"/>
  <c r="O63" i="2"/>
  <c r="O57" i="2"/>
  <c r="O58" i="2" s="1"/>
  <c r="O48" i="2"/>
  <c r="O28" i="2"/>
  <c r="O14" i="2"/>
  <c r="O18" i="2" s="1"/>
  <c r="O29" i="2" s="1"/>
  <c r="O31" i="2" s="1"/>
  <c r="O32" i="2" s="1"/>
  <c r="P63" i="2"/>
  <c r="P57" i="2"/>
  <c r="P58" i="2" s="1"/>
  <c r="P48" i="2"/>
  <c r="P28" i="2"/>
  <c r="P17" i="2"/>
  <c r="P14" i="2"/>
  <c r="P18" i="2" s="1"/>
  <c r="P29" i="2" s="1"/>
  <c r="P31" i="2" s="1"/>
  <c r="P32" i="2" s="1"/>
  <c r="J4" i="1"/>
  <c r="I112" i="2"/>
  <c r="I108" i="2"/>
  <c r="H106" i="2"/>
  <c r="I106" i="2"/>
  <c r="H105" i="2"/>
  <c r="I105" i="2"/>
  <c r="I148" i="2"/>
  <c r="I150" i="2" s="1"/>
  <c r="I140" i="2"/>
  <c r="I142" i="2" s="1"/>
  <c r="H124" i="2"/>
  <c r="G124" i="2"/>
  <c r="I124" i="2"/>
  <c r="I115" i="2"/>
  <c r="H115" i="2"/>
  <c r="G115" i="2"/>
  <c r="H112" i="2"/>
  <c r="H116" i="2" s="1"/>
  <c r="G112" i="2"/>
  <c r="G116" i="2" s="1"/>
  <c r="I116" i="2"/>
  <c r="I125" i="2" s="1"/>
  <c r="I127" i="2" s="1"/>
  <c r="I128" i="2" s="1"/>
  <c r="I103" i="2"/>
  <c r="H103" i="2"/>
  <c r="G103" i="2"/>
  <c r="J7" i="1"/>
  <c r="N17" i="2" l="1"/>
  <c r="N18" i="2"/>
  <c r="N29" i="2" s="1"/>
  <c r="N31" i="2" s="1"/>
  <c r="N32" i="2" s="1"/>
  <c r="I131" i="2"/>
  <c r="G125" i="2"/>
  <c r="G127" i="2" s="1"/>
  <c r="G128" i="2" s="1"/>
  <c r="H125" i="2"/>
  <c r="H127" i="2" s="1"/>
  <c r="H128" i="2" s="1"/>
</calcChain>
</file>

<file path=xl/sharedStrings.xml><?xml version="1.0" encoding="utf-8"?>
<sst xmlns="http://schemas.openxmlformats.org/spreadsheetml/2006/main" count="77" uniqueCount="74">
  <si>
    <t>Price</t>
  </si>
  <si>
    <t>Shares</t>
  </si>
  <si>
    <t>Q225</t>
  </si>
  <si>
    <t>MC</t>
  </si>
  <si>
    <t>Cash</t>
  </si>
  <si>
    <t>Debt</t>
  </si>
  <si>
    <t>EV</t>
  </si>
  <si>
    <t>Main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</si>
  <si>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</si>
  <si>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</si>
  <si>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</si>
  <si>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</si>
  <si>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</si>
  <si>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</si>
  <si>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</si>
  <si>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</si>
  <si>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</si>
  <si>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</si>
  <si>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</si>
  <si>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</si>
  <si>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</si>
  <si>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</si>
  <si>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</si>
  <si>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Client Assets</t>
  </si>
  <si>
    <t>Accounts</t>
  </si>
  <si>
    <t>Average</t>
  </si>
  <si>
    <t>Assets y/y</t>
  </si>
  <si>
    <t>Accounts y/y</t>
  </si>
  <si>
    <t>Client Yield</t>
  </si>
  <si>
    <t>Interest Revenue</t>
  </si>
  <si>
    <t>Interest Expense</t>
  </si>
  <si>
    <t>NIR</t>
  </si>
  <si>
    <t>Asset Management</t>
  </si>
  <si>
    <t>Trading</t>
  </si>
  <si>
    <t>Bank+Other</t>
  </si>
  <si>
    <t>Revenue</t>
  </si>
  <si>
    <t>Compensation</t>
  </si>
  <si>
    <t>Professional</t>
  </si>
  <si>
    <t>Occupancy</t>
  </si>
  <si>
    <t>Advertising</t>
  </si>
  <si>
    <t>Communications</t>
  </si>
  <si>
    <t>D&amp;A</t>
  </si>
  <si>
    <t>Amortization of intangible assets</t>
  </si>
  <si>
    <t>Regulatory</t>
  </si>
  <si>
    <t>Other</t>
  </si>
  <si>
    <t>Operating Costs</t>
  </si>
  <si>
    <t>Operating Margin</t>
  </si>
  <si>
    <t>Taxes</t>
  </si>
  <si>
    <t>Net Income</t>
  </si>
  <si>
    <t>EPS</t>
  </si>
  <si>
    <t>Rev Growth y/y</t>
  </si>
  <si>
    <t>Cash and Equilivants</t>
  </si>
  <si>
    <t>Segregated Cash</t>
  </si>
  <si>
    <t>Broker Receivables</t>
  </si>
  <si>
    <t>Client Receivables</t>
  </si>
  <si>
    <t>Available for sale securities</t>
  </si>
  <si>
    <t>Current Debt</t>
  </si>
  <si>
    <t>Bank Loans</t>
  </si>
  <si>
    <t>Equipment</t>
  </si>
  <si>
    <t>Goodwill</t>
  </si>
  <si>
    <t>Intangible Assets</t>
  </si>
  <si>
    <t>Assets</t>
  </si>
  <si>
    <t>Deposits</t>
  </si>
  <si>
    <t>Broker Payable</t>
  </si>
  <si>
    <t>Client Payable</t>
  </si>
  <si>
    <t>Accrued Expenses</t>
  </si>
  <si>
    <t>Other Short Term Borrowings</t>
  </si>
  <si>
    <t>Federal Home Loan Bank borrowings</t>
  </si>
  <si>
    <t>Long Term Debt</t>
  </si>
  <si>
    <t>SE</t>
  </si>
  <si>
    <t>L+SE</t>
  </si>
  <si>
    <t>CFFO</t>
  </si>
  <si>
    <t>CFFI</t>
  </si>
  <si>
    <t>CFFF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</si>
</sst>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9" fontId="0" fillId="0" borderId="0" xfId="0" applyNumberFormat="1"/>
    <xf numFmtId="164" fontId="0" fillId="0" borderId="0" xfId="0" applyNumberFormat="1"/>
    <xf numFmtId="0" fontId="2" fillId="0" borderId="0" xfId="1"/>
    <xf numFmtId="0" fontId="1" fillId="0" borderId="0" xfId="0" applyFont="1"/>
    <xf numFmtId="0" fontId="0" fillId="0" borderId="0" xfId="0" applyFill="1" applyAlignment="1">
      <alignment horizontal="right"/>
    </xf>
    <xf numFmtId="2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BA67316-161F-42BF-9533-9500EBAF4E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3010-DF68-4E9D-A1DE-6E5D1756F6C7}">
  <dimension ref="I2:K7"/>
  <sheetViews>
    <sheetView zoomScale="175" zoomScaleNormal="175" workbookViewId="0">
      <selection activeCell="J7" sqref="J7"/>
    </sheetView>
  </sheetViews>
  <sheetFormatPr defaultRowHeight="12.75"/>
  <cols>
    <col min="10" max="10" width="9.42578125" bestFit="1" customWidth="1"/>
  </cols>
  <sheetData>
    <row r="2" spans="9:11">
      <c r="I2" t="s">
        <v>0</v>
      </c>
      <c r="J2" s="1">
        <v>94</v>
      </c>
    </row>
    <row r="3" spans="9:11">
      <c r="I3" t="s">
        <v>1</v>
      </c>
      <c r="J3" s="2">
        <v>1815</v>
      </c>
      <c r="K3" s="4" t="s">
        <v>2</v>
      </c>
    </row>
    <row r="4" spans="9:11">
      <c r="I4" t="s">
        <v>3</v>
      </c>
      <c r="J4" s="2">
        <f>+J3*J2</f>
        <v>170610</v>
      </c>
      <c r="K4" s="4"/>
    </row>
    <row r="5" spans="9:11">
      <c r="I5" t="s">
        <v>4</v>
      </c>
      <c r="J5" s="2">
        <v>32195</v>
      </c>
      <c r="K5" s="4"/>
    </row>
    <row r="6" spans="9:11">
      <c r="I6" t="s">
        <v>5</v>
      </c>
      <c r="J6" s="2">
        <v>20208</v>
      </c>
      <c r="K6" s="4"/>
    </row>
    <row r="7" spans="9:11">
      <c r="I7" t="s">
        <v>6</v>
      </c>
      <c r="J7" s="2">
        <f>+J4-J5+J6</f>
        <v>158623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72C6-13E9-434F-B61E-859E6DFFA768}">
  <dimension ref="A1:R154"/>
  <sheetViews>
    <sheetView tabSelected="1" zoomScale="220" zoomScaleNormal="220" workbookViewId="0">
      <pane xSplit="2" ySplit="2" topLeftCell="J17" activePane="bottomRight" state="frozen"/>
      <selection pane="bottomRight" activeCell="P33" sqref="P33"/>
      <selection pane="bottomLeft" activeCell="A3" sqref="A3"/>
      <selection pane="topRight" activeCell="C1" sqref="C1"/>
    </sheetView>
  </sheetViews>
  <sheetFormatPr defaultRowHeight="12.75"/>
  <cols>
    <col min="1" max="1" width="5.42578125" customWidth="1"/>
    <col min="2" max="2" width="18.28515625" customWidth="1"/>
  </cols>
  <sheetData>
    <row r="1" spans="1:18">
      <c r="A1" s="7" t="s">
        <v>7</v>
      </c>
    </row>
    <row r="2" spans="1:18"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9" t="s">
        <v>17</v>
      </c>
      <c r="M2" s="4" t="s">
        <v>18</v>
      </c>
      <c r="N2" s="4" t="s">
        <v>19</v>
      </c>
      <c r="O2" s="4" t="s">
        <v>20</v>
      </c>
      <c r="P2" s="4" t="s">
        <v>2</v>
      </c>
      <c r="Q2" s="9" t="s">
        <v>21</v>
      </c>
      <c r="R2" s="4" t="s">
        <v>22</v>
      </c>
    </row>
    <row r="3" spans="1:18" s="2" customFormat="1">
      <c r="B3" s="2" t="s">
        <v>23</v>
      </c>
    </row>
    <row r="4" spans="1:18" s="2" customFormat="1">
      <c r="B4" s="2" t="s">
        <v>24</v>
      </c>
    </row>
    <row r="5" spans="1:18">
      <c r="B5" t="s">
        <v>25</v>
      </c>
    </row>
    <row r="7" spans="1:18">
      <c r="B7" t="s">
        <v>26</v>
      </c>
    </row>
    <row r="8" spans="1:18">
      <c r="B8" t="s">
        <v>27</v>
      </c>
    </row>
    <row r="10" spans="1:18">
      <c r="B10" t="s">
        <v>28</v>
      </c>
    </row>
    <row r="12" spans="1:18" s="2" customFormat="1">
      <c r="B12" s="2" t="s">
        <v>29</v>
      </c>
      <c r="K12" s="2">
        <v>3941</v>
      </c>
      <c r="L12" s="2">
        <v>3817</v>
      </c>
      <c r="M12" s="2">
        <v>3928</v>
      </c>
      <c r="N12" s="2">
        <f>15537-K12-L12-M12</f>
        <v>3851</v>
      </c>
      <c r="O12" s="2">
        <v>3757</v>
      </c>
      <c r="P12" s="2">
        <v>3787</v>
      </c>
    </row>
    <row r="13" spans="1:18" s="2" customFormat="1">
      <c r="B13" s="2" t="s">
        <v>30</v>
      </c>
      <c r="K13" s="2">
        <v>1708</v>
      </c>
      <c r="L13" s="2">
        <v>1659</v>
      </c>
      <c r="M13" s="2">
        <v>1706</v>
      </c>
      <c r="N13" s="2">
        <f>6393-K13-L13-M13</f>
        <v>1320</v>
      </c>
      <c r="O13" s="2">
        <v>1051</v>
      </c>
      <c r="P13" s="2">
        <v>965</v>
      </c>
    </row>
    <row r="14" spans="1:18" s="2" customFormat="1">
      <c r="B14" s="2" t="s">
        <v>31</v>
      </c>
      <c r="K14" s="2">
        <f>+K12-K13</f>
        <v>2233</v>
      </c>
      <c r="L14" s="2">
        <f>+L12-L13</f>
        <v>2158</v>
      </c>
      <c r="M14" s="2">
        <f>+M12-M13</f>
        <v>2222</v>
      </c>
      <c r="N14" s="2">
        <f>+N12-N13</f>
        <v>2531</v>
      </c>
      <c r="O14" s="2">
        <f>+O12-O13</f>
        <v>2706</v>
      </c>
      <c r="P14" s="2">
        <f>+P12-P13</f>
        <v>2822</v>
      </c>
    </row>
    <row r="15" spans="1:18" s="2" customFormat="1">
      <c r="B15" s="2" t="s">
        <v>32</v>
      </c>
      <c r="K15" s="2">
        <v>1348</v>
      </c>
      <c r="L15" s="2">
        <v>1383</v>
      </c>
      <c r="M15" s="2">
        <v>1476</v>
      </c>
      <c r="N15" s="2">
        <f>5716-K15-L15-M15</f>
        <v>1509</v>
      </c>
      <c r="O15" s="2">
        <v>1530</v>
      </c>
      <c r="P15" s="2">
        <v>1570</v>
      </c>
    </row>
    <row r="16" spans="1:18" s="2" customFormat="1">
      <c r="B16" s="2" t="s">
        <v>33</v>
      </c>
      <c r="K16" s="2">
        <v>817</v>
      </c>
      <c r="L16" s="2">
        <v>777</v>
      </c>
      <c r="M16" s="2">
        <v>797</v>
      </c>
      <c r="N16" s="2">
        <f>3264-K16-L16-M16</f>
        <v>873</v>
      </c>
      <c r="O16" s="2">
        <v>908</v>
      </c>
      <c r="P16" s="2">
        <v>952</v>
      </c>
    </row>
    <row r="17" spans="2:16" s="2" customFormat="1">
      <c r="B17" s="2" t="s">
        <v>34</v>
      </c>
      <c r="K17" s="2">
        <f>183+159</f>
        <v>342</v>
      </c>
      <c r="L17" s="2">
        <f>153+219</f>
        <v>372</v>
      </c>
      <c r="M17" s="2">
        <f>125+200</f>
        <v>325</v>
      </c>
      <c r="N17" s="2">
        <f>729+753-K17-L17-M17</f>
        <v>443</v>
      </c>
      <c r="O17" s="2">
        <f>245+210</f>
        <v>455</v>
      </c>
      <c r="P17" s="2">
        <f>247+260</f>
        <v>507</v>
      </c>
    </row>
    <row r="18" spans="2:16" s="3" customFormat="1">
      <c r="B18" s="3" t="s">
        <v>35</v>
      </c>
      <c r="K18" s="3">
        <f>+K14+K15+K16+K17</f>
        <v>4740</v>
      </c>
      <c r="L18" s="3">
        <f>+L14+L15+L16+L17</f>
        <v>4690</v>
      </c>
      <c r="M18" s="3">
        <f>+M14+M15+M16+M17</f>
        <v>4820</v>
      </c>
      <c r="N18" s="3">
        <f>+N14+N15+N16+N17</f>
        <v>5356</v>
      </c>
      <c r="O18" s="3">
        <f>+O14+O15+O16+O17</f>
        <v>5599</v>
      </c>
      <c r="P18" s="3">
        <f>+P14+P15+P16+P17</f>
        <v>5851</v>
      </c>
    </row>
    <row r="19" spans="2:16" s="2" customFormat="1">
      <c r="B19" s="2" t="s">
        <v>36</v>
      </c>
      <c r="K19" s="2">
        <v>1538</v>
      </c>
      <c r="L19" s="2">
        <v>1450</v>
      </c>
      <c r="M19" s="2">
        <v>1522</v>
      </c>
      <c r="N19" s="2">
        <f>6043-K19-L19-M19</f>
        <v>1533</v>
      </c>
      <c r="O19" s="2">
        <v>1672</v>
      </c>
      <c r="P19" s="2">
        <v>1536</v>
      </c>
    </row>
    <row r="20" spans="2:16" s="2" customFormat="1">
      <c r="B20" s="2" t="s">
        <v>37</v>
      </c>
      <c r="K20" s="2">
        <v>241</v>
      </c>
      <c r="L20" s="2">
        <v>259</v>
      </c>
      <c r="M20" s="2">
        <v>256</v>
      </c>
      <c r="N20" s="2">
        <f>1053-K20-L20-M20</f>
        <v>297</v>
      </c>
      <c r="O20" s="2">
        <v>269</v>
      </c>
      <c r="P20" s="2">
        <v>291</v>
      </c>
    </row>
    <row r="21" spans="2:16" s="2" customFormat="1">
      <c r="B21" s="2" t="s">
        <v>38</v>
      </c>
      <c r="K21" s="2">
        <v>265</v>
      </c>
      <c r="L21" s="2">
        <v>248</v>
      </c>
      <c r="M21" s="2">
        <v>271</v>
      </c>
      <c r="N21" s="2">
        <f>1060-K21-L21-M21</f>
        <v>276</v>
      </c>
      <c r="O21" s="2">
        <v>274</v>
      </c>
      <c r="P21" s="2">
        <v>270</v>
      </c>
    </row>
    <row r="22" spans="2:16" s="2" customFormat="1">
      <c r="B22" s="2" t="s">
        <v>39</v>
      </c>
      <c r="K22" s="2">
        <v>88</v>
      </c>
      <c r="L22" s="2">
        <v>107</v>
      </c>
      <c r="M22" s="2">
        <v>101</v>
      </c>
      <c r="N22" s="2">
        <f>397-K22-L22-M22</f>
        <v>101</v>
      </c>
      <c r="O22" s="2">
        <v>96</v>
      </c>
      <c r="P22" s="2">
        <v>108</v>
      </c>
    </row>
    <row r="23" spans="2:16" s="2" customFormat="1">
      <c r="B23" s="2" t="s">
        <v>40</v>
      </c>
      <c r="K23" s="2">
        <v>141</v>
      </c>
      <c r="L23" s="2">
        <v>172</v>
      </c>
      <c r="M23" s="2">
        <v>147</v>
      </c>
      <c r="N23" s="2">
        <f>591-K23-L23-M23</f>
        <v>131</v>
      </c>
      <c r="O23" s="2">
        <v>153</v>
      </c>
      <c r="P23" s="2">
        <v>176</v>
      </c>
    </row>
    <row r="24" spans="2:16" s="2" customFormat="1">
      <c r="B24" s="2" t="s">
        <v>41</v>
      </c>
      <c r="K24" s="2">
        <v>228</v>
      </c>
      <c r="L24" s="2">
        <v>233</v>
      </c>
      <c r="M24" s="2">
        <v>231</v>
      </c>
      <c r="N24" s="2">
        <f>916-K24-L24-M24</f>
        <v>224</v>
      </c>
      <c r="O24" s="2">
        <v>217</v>
      </c>
      <c r="P24" s="2">
        <v>215</v>
      </c>
    </row>
    <row r="25" spans="2:16" s="2" customFormat="1">
      <c r="B25" s="2" t="s">
        <v>42</v>
      </c>
      <c r="K25" s="2">
        <v>130</v>
      </c>
      <c r="L25" s="2">
        <v>129</v>
      </c>
      <c r="M25" s="2">
        <v>130</v>
      </c>
      <c r="N25" s="2">
        <f>519-K25-L25-M25</f>
        <v>130</v>
      </c>
      <c r="O25" s="2">
        <v>130</v>
      </c>
      <c r="P25" s="2">
        <v>128</v>
      </c>
    </row>
    <row r="26" spans="2:16" s="2" customFormat="1">
      <c r="B26" s="2" t="s">
        <v>43</v>
      </c>
      <c r="K26" s="2">
        <v>125</v>
      </c>
      <c r="L26" s="2">
        <v>96</v>
      </c>
      <c r="M26" s="2">
        <v>88</v>
      </c>
      <c r="N26" s="2">
        <f>398-K26-L26-M26</f>
        <v>89</v>
      </c>
      <c r="O26" s="2">
        <v>89</v>
      </c>
      <c r="P26" s="2">
        <v>77</v>
      </c>
    </row>
    <row r="27" spans="2:16" s="2" customFormat="1">
      <c r="B27" s="2" t="s">
        <v>44</v>
      </c>
      <c r="K27" s="2">
        <v>186</v>
      </c>
      <c r="L27" s="2">
        <v>249</v>
      </c>
      <c r="M27" s="2">
        <v>259</v>
      </c>
      <c r="N27" s="2">
        <f>937-K27-L27-M27</f>
        <v>243</v>
      </c>
      <c r="O27" s="2">
        <v>244</v>
      </c>
      <c r="P27" s="2">
        <v>247</v>
      </c>
    </row>
    <row r="28" spans="2:16" s="3" customFormat="1">
      <c r="B28" s="3" t="s">
        <v>45</v>
      </c>
      <c r="K28" s="3">
        <f>SUM(K19:K27)</f>
        <v>2942</v>
      </c>
      <c r="L28" s="3">
        <f>SUM(L19:L27)</f>
        <v>2943</v>
      </c>
      <c r="M28" s="3">
        <f>SUM(M19:M27)</f>
        <v>3005</v>
      </c>
      <c r="N28" s="3">
        <f>SUM(N19:N27)</f>
        <v>3024</v>
      </c>
      <c r="O28" s="3">
        <f>SUM(O19:O27)</f>
        <v>3144</v>
      </c>
      <c r="P28" s="3">
        <f>SUM(P19:P27)</f>
        <v>3048</v>
      </c>
    </row>
    <row r="29" spans="2:16" s="3" customFormat="1">
      <c r="B29" s="3" t="s">
        <v>46</v>
      </c>
      <c r="K29" s="3">
        <f>+K18-K28</f>
        <v>1798</v>
      </c>
      <c r="L29" s="3">
        <f>+L18-L28</f>
        <v>1747</v>
      </c>
      <c r="M29" s="3">
        <f>+M18-M28</f>
        <v>1815</v>
      </c>
      <c r="N29" s="3">
        <f>+N18-N28</f>
        <v>2332</v>
      </c>
      <c r="O29" s="3">
        <f>+O18-O28</f>
        <v>2455</v>
      </c>
      <c r="P29" s="3">
        <f>+P18-P28</f>
        <v>2803</v>
      </c>
    </row>
    <row r="30" spans="2:16">
      <c r="B30" s="2" t="s">
        <v>47</v>
      </c>
      <c r="K30">
        <v>436</v>
      </c>
      <c r="L30">
        <v>415</v>
      </c>
      <c r="M30">
        <v>434</v>
      </c>
      <c r="N30">
        <f>1750-K30-L30-M30</f>
        <v>465</v>
      </c>
      <c r="O30">
        <v>546</v>
      </c>
      <c r="P30">
        <v>677</v>
      </c>
    </row>
    <row r="31" spans="2:16" s="8" customFormat="1">
      <c r="B31" s="3" t="s">
        <v>48</v>
      </c>
      <c r="K31" s="3">
        <f>+K29-K30</f>
        <v>1362</v>
      </c>
      <c r="L31" s="3">
        <f>+L29-L30</f>
        <v>1332</v>
      </c>
      <c r="M31" s="3">
        <f>+M29-M30</f>
        <v>1381</v>
      </c>
      <c r="N31" s="3">
        <f>+N29-N30</f>
        <v>1867</v>
      </c>
      <c r="O31" s="3">
        <f>+O29-O30</f>
        <v>1909</v>
      </c>
      <c r="P31" s="3">
        <f>+P29-P30</f>
        <v>2126</v>
      </c>
    </row>
    <row r="32" spans="2:16" s="8" customFormat="1">
      <c r="B32" s="3" t="s">
        <v>49</v>
      </c>
      <c r="K32" s="10">
        <f>+K31/K33</f>
        <v>0.74385581649371924</v>
      </c>
      <c r="L32" s="10">
        <f>+L31/L33</f>
        <v>0.72628135223555068</v>
      </c>
      <c r="M32" s="10">
        <f>+M31/M33</f>
        <v>0.75299890948745907</v>
      </c>
      <c r="N32" s="10">
        <f>+N31/N33</f>
        <v>1.0179934569247546</v>
      </c>
      <c r="O32" s="10">
        <f>+O31/O33</f>
        <v>1.0477497255762898</v>
      </c>
      <c r="P32" s="10">
        <f>+P31/P33</f>
        <v>1.1668496158068058</v>
      </c>
    </row>
    <row r="33" spans="2:16" s="2" customFormat="1">
      <c r="B33" s="2" t="s">
        <v>1</v>
      </c>
      <c r="K33" s="2">
        <v>1831</v>
      </c>
      <c r="L33" s="2">
        <v>1834</v>
      </c>
      <c r="M33" s="2">
        <v>1834</v>
      </c>
      <c r="N33" s="2">
        <v>1834</v>
      </c>
      <c r="O33" s="2">
        <v>1822</v>
      </c>
      <c r="P33" s="2">
        <v>1822</v>
      </c>
    </row>
    <row r="35" spans="2:16">
      <c r="B35" t="s">
        <v>50</v>
      </c>
      <c r="K35" s="5" t="e">
        <f t="shared" ref="K35:P35" si="0">+K18/J18-1</f>
        <v>#DIV/0!</v>
      </c>
      <c r="L35" s="5">
        <f>+L18/K18-1</f>
        <v>-1.0548523206751037E-2</v>
      </c>
      <c r="M35" s="5">
        <f t="shared" si="0"/>
        <v>2.771855010660973E-2</v>
      </c>
      <c r="N35" s="5">
        <f t="shared" si="0"/>
        <v>0.11120331950207474</v>
      </c>
      <c r="O35" s="5">
        <f t="shared" si="0"/>
        <v>4.536967886482457E-2</v>
      </c>
      <c r="P35" s="5">
        <f>+P18/O18-1</f>
        <v>4.5008037149490976E-2</v>
      </c>
    </row>
    <row r="36" spans="2:16">
      <c r="B36" s="2"/>
    </row>
    <row r="37" spans="2:16" s="2" customFormat="1">
      <c r="B37" s="2" t="s">
        <v>51</v>
      </c>
      <c r="K37" s="2">
        <v>31752</v>
      </c>
      <c r="L37" s="2">
        <v>25350</v>
      </c>
      <c r="M37" s="2">
        <v>35009</v>
      </c>
      <c r="N37" s="2">
        <v>42083</v>
      </c>
      <c r="O37" s="2">
        <v>35009</v>
      </c>
      <c r="P37" s="2">
        <v>32195</v>
      </c>
    </row>
    <row r="38" spans="2:16" s="2" customFormat="1">
      <c r="B38" s="2" t="s">
        <v>52</v>
      </c>
      <c r="K38" s="2">
        <v>25905</v>
      </c>
      <c r="L38" s="2">
        <v>21737</v>
      </c>
      <c r="M38" s="2">
        <v>38408</v>
      </c>
      <c r="N38" s="2">
        <v>38221</v>
      </c>
      <c r="O38" s="2">
        <v>38408</v>
      </c>
      <c r="P38" s="2">
        <v>45568</v>
      </c>
    </row>
    <row r="39" spans="2:16" s="2" customFormat="1">
      <c r="B39" s="2" t="s">
        <v>53</v>
      </c>
      <c r="K39" s="2">
        <v>0</v>
      </c>
      <c r="L39" s="2">
        <v>0</v>
      </c>
      <c r="M39" s="2">
        <v>2938</v>
      </c>
      <c r="N39" s="2">
        <v>2440</v>
      </c>
      <c r="O39" s="2">
        <v>2938</v>
      </c>
      <c r="P39" s="2">
        <v>4304</v>
      </c>
    </row>
    <row r="40" spans="2:16" s="2" customFormat="1">
      <c r="B40" s="2" t="s">
        <v>54</v>
      </c>
      <c r="K40" s="2">
        <v>71169</v>
      </c>
      <c r="L40" s="2">
        <v>72836</v>
      </c>
      <c r="M40" s="2">
        <v>84449</v>
      </c>
      <c r="N40" s="2">
        <v>85374</v>
      </c>
      <c r="O40" s="2">
        <v>84449</v>
      </c>
      <c r="P40" s="2">
        <v>82785</v>
      </c>
    </row>
    <row r="41" spans="2:16" s="2" customFormat="1">
      <c r="B41" s="2" t="s">
        <v>55</v>
      </c>
      <c r="K41" s="2">
        <v>101086</v>
      </c>
      <c r="L41" s="2">
        <v>93562</v>
      </c>
      <c r="M41" s="2">
        <v>74828</v>
      </c>
      <c r="N41" s="2">
        <v>82994</v>
      </c>
      <c r="O41" s="2">
        <v>74828</v>
      </c>
      <c r="P41" s="2">
        <v>67612</v>
      </c>
    </row>
    <row r="42" spans="2:16" s="2" customFormat="1">
      <c r="B42" s="2" t="s">
        <v>56</v>
      </c>
      <c r="K42" s="2">
        <v>156371</v>
      </c>
      <c r="L42" s="2">
        <v>153179</v>
      </c>
      <c r="M42" s="2">
        <v>143815</v>
      </c>
      <c r="N42" s="2">
        <v>146453</v>
      </c>
      <c r="O42" s="2">
        <v>143815</v>
      </c>
      <c r="P42" s="2">
        <v>139684</v>
      </c>
    </row>
    <row r="43" spans="2:16" s="2" customFormat="1">
      <c r="B43" s="2" t="s">
        <v>57</v>
      </c>
      <c r="K43" s="2">
        <v>40783</v>
      </c>
      <c r="L43" s="2">
        <v>42182</v>
      </c>
      <c r="M43" s="2">
        <v>47121</v>
      </c>
      <c r="N43" s="2">
        <v>45215</v>
      </c>
      <c r="O43" s="2">
        <v>47121</v>
      </c>
      <c r="P43" s="2">
        <v>50405</v>
      </c>
    </row>
    <row r="44" spans="2:16" s="2" customFormat="1">
      <c r="B44" s="2" t="s">
        <v>58</v>
      </c>
      <c r="K44" s="2">
        <v>3584</v>
      </c>
      <c r="L44" s="2">
        <v>3436</v>
      </c>
      <c r="M44" s="2">
        <v>3276</v>
      </c>
      <c r="N44" s="2">
        <v>3338</v>
      </c>
      <c r="O44" s="2">
        <v>3276</v>
      </c>
      <c r="P44" s="2">
        <v>3197</v>
      </c>
    </row>
    <row r="45" spans="2:16" s="2" customFormat="1">
      <c r="B45" s="2" t="s">
        <v>59</v>
      </c>
      <c r="K45" s="2">
        <v>11951</v>
      </c>
      <c r="L45" s="2">
        <v>11951</v>
      </c>
      <c r="M45" s="2">
        <v>11951</v>
      </c>
      <c r="N45" s="2">
        <v>11951</v>
      </c>
      <c r="O45" s="2">
        <v>11951</v>
      </c>
      <c r="P45" s="2">
        <v>11951</v>
      </c>
    </row>
    <row r="46" spans="2:16" s="2" customFormat="1">
      <c r="B46" s="2" t="s">
        <v>60</v>
      </c>
      <c r="K46" s="2">
        <v>8131</v>
      </c>
      <c r="L46" s="2">
        <v>8003</v>
      </c>
      <c r="M46" s="2">
        <v>7615</v>
      </c>
      <c r="N46" s="2">
        <v>7743</v>
      </c>
      <c r="O46" s="2">
        <v>7615</v>
      </c>
      <c r="P46" s="2">
        <v>7487</v>
      </c>
    </row>
    <row r="47" spans="2:16" s="2" customFormat="1">
      <c r="B47" s="2" t="s">
        <v>44</v>
      </c>
      <c r="K47" s="2">
        <v>18052</v>
      </c>
      <c r="L47" s="2">
        <v>17439</v>
      </c>
      <c r="M47" s="2">
        <v>13493</v>
      </c>
      <c r="N47" s="2">
        <v>14031</v>
      </c>
      <c r="O47" s="2">
        <v>13493</v>
      </c>
      <c r="P47" s="2">
        <v>13748</v>
      </c>
    </row>
    <row r="48" spans="2:16" s="3" customFormat="1">
      <c r="B48" s="3" t="s">
        <v>61</v>
      </c>
      <c r="K48" s="3">
        <f>SUM(K37:K47)</f>
        <v>468784</v>
      </c>
      <c r="L48" s="3">
        <f>SUM(L37:L47)</f>
        <v>449675</v>
      </c>
      <c r="M48" s="3">
        <f>SUM(M37:M47)</f>
        <v>462903</v>
      </c>
      <c r="N48" s="3">
        <f>SUM(N37:N47)</f>
        <v>479843</v>
      </c>
      <c r="O48" s="3">
        <f>SUM(O37:O47)</f>
        <v>462903</v>
      </c>
      <c r="P48" s="3">
        <f>SUM(P37:P47)</f>
        <v>458936</v>
      </c>
    </row>
    <row r="49" spans="2:16" s="2" customFormat="1"/>
    <row r="50" spans="2:16" s="2" customFormat="1">
      <c r="B50" s="2" t="s">
        <v>62</v>
      </c>
      <c r="K50" s="2">
        <v>269460</v>
      </c>
      <c r="L50" s="2">
        <v>252420</v>
      </c>
      <c r="M50" s="2">
        <v>246160</v>
      </c>
      <c r="N50" s="2">
        <v>259121</v>
      </c>
      <c r="O50" s="2">
        <v>246160</v>
      </c>
      <c r="P50" s="2">
        <v>233058</v>
      </c>
    </row>
    <row r="51" spans="2:16" s="2" customFormat="1">
      <c r="B51" s="2" t="s">
        <v>63</v>
      </c>
      <c r="K51" s="2">
        <v>0</v>
      </c>
      <c r="L51" s="2">
        <v>0</v>
      </c>
      <c r="M51" s="2">
        <v>15744</v>
      </c>
      <c r="N51" s="2">
        <v>13336</v>
      </c>
      <c r="O51" s="2">
        <v>15744</v>
      </c>
      <c r="P51" s="2">
        <v>18584</v>
      </c>
    </row>
    <row r="52" spans="2:16" s="2" customFormat="1">
      <c r="B52" s="2" t="s">
        <v>64</v>
      </c>
      <c r="K52" s="2">
        <v>84005</v>
      </c>
      <c r="L52" s="2">
        <v>79966</v>
      </c>
      <c r="M52" s="2">
        <v>100579</v>
      </c>
      <c r="N52" s="2">
        <v>101559</v>
      </c>
      <c r="O52" s="2">
        <v>100579</v>
      </c>
      <c r="P52" s="2">
        <v>109355</v>
      </c>
    </row>
    <row r="53" spans="2:16" s="2" customFormat="1">
      <c r="B53" s="2" t="s">
        <v>65</v>
      </c>
      <c r="K53" s="2">
        <v>17637</v>
      </c>
      <c r="L53" s="2">
        <v>7966</v>
      </c>
      <c r="M53" s="2">
        <v>11011</v>
      </c>
      <c r="N53" s="2">
        <v>12325</v>
      </c>
      <c r="O53" s="2">
        <v>11011</v>
      </c>
      <c r="P53" s="2">
        <v>10808</v>
      </c>
    </row>
    <row r="54" spans="2:16" s="2" customFormat="1">
      <c r="B54" s="2" t="s">
        <v>66</v>
      </c>
      <c r="K54" s="2">
        <v>8405</v>
      </c>
      <c r="L54" s="2">
        <v>9996</v>
      </c>
      <c r="M54" s="2">
        <v>6927</v>
      </c>
      <c r="N54" s="2">
        <v>5999</v>
      </c>
      <c r="O54" s="2">
        <v>6927</v>
      </c>
      <c r="P54" s="2">
        <v>8472</v>
      </c>
    </row>
    <row r="55" spans="2:16" s="2" customFormat="1">
      <c r="B55" s="2" t="s">
        <v>67</v>
      </c>
      <c r="K55" s="2">
        <v>24000</v>
      </c>
      <c r="L55" s="2">
        <v>24400</v>
      </c>
      <c r="M55" s="2">
        <v>11500</v>
      </c>
      <c r="N55" s="2">
        <v>16700</v>
      </c>
      <c r="O55" s="2">
        <v>11500</v>
      </c>
      <c r="P55" s="2">
        <v>9000</v>
      </c>
    </row>
    <row r="56" spans="2:16" s="2" customFormat="1">
      <c r="B56" s="2" t="s">
        <v>68</v>
      </c>
      <c r="K56" s="2">
        <v>22865</v>
      </c>
      <c r="L56" s="2">
        <v>22449</v>
      </c>
      <c r="M56" s="2">
        <v>21471</v>
      </c>
      <c r="N56" s="2">
        <v>22428</v>
      </c>
      <c r="O56" s="2">
        <v>21471</v>
      </c>
      <c r="P56" s="2">
        <v>20208</v>
      </c>
    </row>
    <row r="57" spans="2:16" s="3" customFormat="1">
      <c r="B57" s="3" t="s">
        <v>69</v>
      </c>
      <c r="K57" s="3">
        <f>SUM(K50:K56)</f>
        <v>426372</v>
      </c>
      <c r="L57" s="3">
        <f>SUM(L50:L56)</f>
        <v>397197</v>
      </c>
      <c r="M57" s="3">
        <f>SUM(M50:M56)</f>
        <v>413392</v>
      </c>
      <c r="N57" s="3">
        <f>SUM(N50:N56)</f>
        <v>431468</v>
      </c>
      <c r="O57" s="3">
        <f>SUM(O50:O56)</f>
        <v>413392</v>
      </c>
      <c r="P57" s="3">
        <f>SUM(P50:P56)</f>
        <v>409485</v>
      </c>
    </row>
    <row r="58" spans="2:16" s="3" customFormat="1">
      <c r="B58" s="3" t="s">
        <v>70</v>
      </c>
      <c r="K58" s="3">
        <f>SUM(K50:K57)</f>
        <v>852744</v>
      </c>
      <c r="L58" s="3">
        <f>SUM(L50:L57)</f>
        <v>794394</v>
      </c>
      <c r="M58" s="3">
        <f>SUM(M50:M57)</f>
        <v>826784</v>
      </c>
      <c r="N58" s="3">
        <f>SUM(N50:N57)</f>
        <v>862936</v>
      </c>
      <c r="O58" s="3">
        <f>SUM(O50:O57)</f>
        <v>826784</v>
      </c>
      <c r="P58" s="3">
        <f>SUM(P50:P57)</f>
        <v>818970</v>
      </c>
    </row>
    <row r="59" spans="2:16" s="2" customFormat="1"/>
    <row r="61" spans="2:16" s="2" customFormat="1">
      <c r="B61" s="2" t="s">
        <v>71</v>
      </c>
      <c r="L61" s="2">
        <v>-5601</v>
      </c>
      <c r="O61" s="2">
        <v>9536</v>
      </c>
      <c r="P61" s="2">
        <v>9536</v>
      </c>
    </row>
    <row r="62" spans="2:16" s="2" customFormat="1">
      <c r="B62" s="2" t="s">
        <v>72</v>
      </c>
      <c r="L62" s="2">
        <v>19181</v>
      </c>
      <c r="O62" s="2">
        <v>19546</v>
      </c>
      <c r="P62" s="2">
        <v>19546</v>
      </c>
    </row>
    <row r="63" spans="2:16" s="2" customFormat="1">
      <c r="B63" s="2" t="s">
        <v>73</v>
      </c>
      <c r="L63" s="2">
        <f>L61+L62</f>
        <v>13580</v>
      </c>
      <c r="O63" s="2">
        <f>SUM(O61:O62)</f>
        <v>29082</v>
      </c>
      <c r="P63" s="2">
        <f>SUM(P61:P62)</f>
        <v>29082</v>
      </c>
    </row>
    <row r="101" spans="7:9">
      <c r="G101" s="2">
        <v>7049.8</v>
      </c>
      <c r="H101" s="2">
        <v>8516.6</v>
      </c>
      <c r="I101" s="2">
        <v>10101.299999999999</v>
      </c>
    </row>
    <row r="102" spans="7:9">
      <c r="G102" s="2">
        <v>33758</v>
      </c>
      <c r="H102" s="2">
        <v>34838</v>
      </c>
      <c r="I102" s="2">
        <v>36456</v>
      </c>
    </row>
    <row r="103" spans="7:9">
      <c r="G103" s="1">
        <f>G101*1000/G102</f>
        <v>208.83346169796789</v>
      </c>
      <c r="H103" s="1">
        <f t="shared" ref="H103:I103" si="1">H101*1000/H102</f>
        <v>244.4629427636489</v>
      </c>
      <c r="I103" s="1">
        <f t="shared" si="1"/>
        <v>277.08196181698486</v>
      </c>
    </row>
    <row r="105" spans="7:9">
      <c r="H105" s="5">
        <f>+H101/G101-1</f>
        <v>0.20806264007489572</v>
      </c>
      <c r="I105" s="5">
        <f>+I101/H101-1</f>
        <v>0.18607190662940587</v>
      </c>
    </row>
    <row r="106" spans="7:9">
      <c r="H106" s="5">
        <f>+H102/G102-1</f>
        <v>3.1992416612358632E-2</v>
      </c>
      <c r="I106" s="5">
        <f>+I102/H102-1</f>
        <v>4.6443538664676431E-2</v>
      </c>
    </row>
    <row r="108" spans="7:9">
      <c r="I108" s="6">
        <f>(I112/(I101*1000))</f>
        <v>9.0523001989842897E-4</v>
      </c>
    </row>
    <row r="110" spans="7:9">
      <c r="G110" s="2">
        <v>12227</v>
      </c>
      <c r="H110" s="2">
        <v>16111</v>
      </c>
      <c r="I110" s="2">
        <v>15537</v>
      </c>
    </row>
    <row r="111" spans="7:9">
      <c r="G111" s="2">
        <v>1545</v>
      </c>
      <c r="H111" s="2">
        <v>6684</v>
      </c>
      <c r="I111" s="2">
        <v>6393</v>
      </c>
    </row>
    <row r="112" spans="7:9">
      <c r="G112" s="2">
        <f t="shared" ref="G112:H112" si="2">+G110-G111</f>
        <v>10682</v>
      </c>
      <c r="H112" s="2">
        <f t="shared" si="2"/>
        <v>9427</v>
      </c>
      <c r="I112" s="2">
        <f>+I110-I111</f>
        <v>9144</v>
      </c>
    </row>
    <row r="113" spans="7:9">
      <c r="G113" s="2">
        <v>4216</v>
      </c>
      <c r="H113" s="2">
        <v>4756</v>
      </c>
      <c r="I113" s="2">
        <v>5716</v>
      </c>
    </row>
    <row r="114" spans="7:9">
      <c r="G114" s="2">
        <v>3673</v>
      </c>
      <c r="H114" s="2">
        <v>3230</v>
      </c>
      <c r="I114" s="2">
        <v>3264</v>
      </c>
    </row>
    <row r="115" spans="7:9">
      <c r="G115" s="2">
        <f>1409+782</f>
        <v>2191</v>
      </c>
      <c r="H115" s="2">
        <f>705+719</f>
        <v>1424</v>
      </c>
      <c r="I115" s="2">
        <f>729+753</f>
        <v>1482</v>
      </c>
    </row>
    <row r="116" spans="7:9">
      <c r="G116" s="3">
        <f>SUM(G112:G115)</f>
        <v>20762</v>
      </c>
      <c r="H116" s="3">
        <f>SUM(H112:H115)</f>
        <v>18837</v>
      </c>
      <c r="I116" s="3">
        <f>SUM(I112:I115)</f>
        <v>19606</v>
      </c>
    </row>
    <row r="117" spans="7:9">
      <c r="G117" s="2">
        <v>5936</v>
      </c>
      <c r="H117" s="2">
        <v>6315</v>
      </c>
      <c r="I117" s="2">
        <v>6043</v>
      </c>
    </row>
    <row r="118" spans="7:9">
      <c r="G118" s="2">
        <v>1032</v>
      </c>
      <c r="H118" s="2">
        <v>1058</v>
      </c>
      <c r="I118" s="2">
        <v>1053</v>
      </c>
    </row>
    <row r="119" spans="7:9">
      <c r="G119" s="2">
        <v>1175</v>
      </c>
      <c r="H119" s="2">
        <v>1254</v>
      </c>
      <c r="I119" s="2">
        <v>1060</v>
      </c>
    </row>
    <row r="120" spans="7:9">
      <c r="G120" s="2">
        <v>419</v>
      </c>
      <c r="H120" s="2">
        <v>397</v>
      </c>
      <c r="I120" s="2">
        <v>397</v>
      </c>
    </row>
    <row r="121" spans="7:9">
      <c r="G121" s="2">
        <v>588</v>
      </c>
      <c r="H121" s="2">
        <v>629</v>
      </c>
      <c r="I121" s="2">
        <v>591</v>
      </c>
    </row>
    <row r="122" spans="7:9">
      <c r="G122" s="2">
        <v>262</v>
      </c>
      <c r="H122" s="2">
        <v>547</v>
      </c>
      <c r="I122" s="2">
        <v>398</v>
      </c>
    </row>
    <row r="123" spans="7:9">
      <c r="G123" s="2">
        <v>714</v>
      </c>
      <c r="H123" s="2">
        <v>921</v>
      </c>
      <c r="I123" s="2">
        <v>937</v>
      </c>
    </row>
    <row r="124" spans="7:9">
      <c r="G124" s="2">
        <f t="shared" ref="G124:H124" si="3">SUM(G117:G123)</f>
        <v>10126</v>
      </c>
      <c r="H124" s="2">
        <f t="shared" si="3"/>
        <v>11121</v>
      </c>
      <c r="I124" s="2">
        <f>SUM(I117:I123)</f>
        <v>10479</v>
      </c>
    </row>
    <row r="125" spans="7:9">
      <c r="G125" s="2">
        <f t="shared" ref="G125:H125" si="4">G116-G124</f>
        <v>10636</v>
      </c>
      <c r="H125" s="2">
        <f t="shared" si="4"/>
        <v>7716</v>
      </c>
      <c r="I125" s="2">
        <f>I116-I124</f>
        <v>9127</v>
      </c>
    </row>
    <row r="126" spans="7:9">
      <c r="G126" s="2">
        <v>2205</v>
      </c>
      <c r="H126" s="2">
        <v>1311</v>
      </c>
      <c r="I126" s="2">
        <v>1750</v>
      </c>
    </row>
    <row r="127" spans="7:9">
      <c r="G127" s="2">
        <f>+G125-G126</f>
        <v>8431</v>
      </c>
      <c r="H127" s="2">
        <f>+H125-H126</f>
        <v>6405</v>
      </c>
      <c r="I127" s="2">
        <f>+I125-I126</f>
        <v>7377</v>
      </c>
    </row>
    <row r="128" spans="7:9">
      <c r="G128" s="1">
        <f>+G127/G129</f>
        <v>4.4514255543822596</v>
      </c>
      <c r="H128" s="1">
        <f>+H127/H129</f>
        <v>3.4980884762424904</v>
      </c>
      <c r="I128" s="1">
        <f>+I127/I129</f>
        <v>4.0223555070883314</v>
      </c>
    </row>
    <row r="129" spans="7:9">
      <c r="G129" s="2">
        <v>1894</v>
      </c>
      <c r="H129" s="2">
        <v>1831</v>
      </c>
      <c r="I129" s="2">
        <v>1834</v>
      </c>
    </row>
    <row r="131" spans="7:9">
      <c r="I131" s="2">
        <f>+I132-I148</f>
        <v>-3044</v>
      </c>
    </row>
    <row r="132" spans="7:9">
      <c r="G132" s="2"/>
      <c r="H132" s="2"/>
      <c r="I132" s="2">
        <v>42083</v>
      </c>
    </row>
    <row r="133" spans="7:9">
      <c r="G133" s="2"/>
      <c r="H133" s="2"/>
      <c r="I133" s="2">
        <v>38221</v>
      </c>
    </row>
    <row r="134" spans="7:9">
      <c r="G134" s="2"/>
      <c r="H134" s="2"/>
      <c r="I134" s="2">
        <v>2440</v>
      </c>
    </row>
    <row r="135" spans="7:9">
      <c r="G135" s="2"/>
      <c r="H135" s="2"/>
      <c r="I135" s="2">
        <v>85374</v>
      </c>
    </row>
    <row r="136" spans="7:9">
      <c r="G136" s="2"/>
      <c r="H136" s="2"/>
      <c r="I136" s="2">
        <v>82994</v>
      </c>
    </row>
    <row r="137" spans="7:9">
      <c r="G137" s="2"/>
      <c r="H137" s="2"/>
      <c r="I137" s="2">
        <v>146453</v>
      </c>
    </row>
    <row r="138" spans="7:9">
      <c r="G138" s="2"/>
      <c r="H138" s="2"/>
      <c r="I138" s="2">
        <v>45215</v>
      </c>
    </row>
    <row r="139" spans="7:9">
      <c r="G139" s="2"/>
      <c r="H139" s="2"/>
      <c r="I139" s="2">
        <v>3338</v>
      </c>
    </row>
    <row r="140" spans="7:9">
      <c r="G140" s="2"/>
      <c r="H140" s="2"/>
      <c r="I140" s="2">
        <f>11951+7743</f>
        <v>19694</v>
      </c>
    </row>
    <row r="141" spans="7:9">
      <c r="G141" s="2"/>
      <c r="H141" s="2"/>
      <c r="I141" s="2">
        <v>14031</v>
      </c>
    </row>
    <row r="142" spans="7:9">
      <c r="G142" s="2"/>
      <c r="H142" s="2"/>
      <c r="I142" s="2">
        <f>SUM(I132:I141)</f>
        <v>479843</v>
      </c>
    </row>
    <row r="143" spans="7:9">
      <c r="G143" s="2"/>
      <c r="H143" s="2"/>
      <c r="I143" s="2"/>
    </row>
    <row r="144" spans="7:9">
      <c r="G144" s="2"/>
      <c r="H144" s="2"/>
      <c r="I144" s="2">
        <v>259121</v>
      </c>
    </row>
    <row r="145" spans="7:9">
      <c r="G145" s="2"/>
      <c r="H145" s="2"/>
      <c r="I145" s="2">
        <v>13336</v>
      </c>
    </row>
    <row r="146" spans="7:9">
      <c r="G146" s="2"/>
      <c r="H146" s="2"/>
      <c r="I146" s="2">
        <v>101559</v>
      </c>
    </row>
    <row r="147" spans="7:9">
      <c r="G147" s="2"/>
      <c r="H147" s="2"/>
      <c r="I147" s="2">
        <v>12325</v>
      </c>
    </row>
    <row r="148" spans="7:9">
      <c r="G148" s="2"/>
      <c r="H148" s="2"/>
      <c r="I148" s="2">
        <f>5999+16700+22428</f>
        <v>45127</v>
      </c>
    </row>
    <row r="149" spans="7:9">
      <c r="G149" s="2"/>
      <c r="H149" s="2"/>
      <c r="I149" s="2">
        <v>48375</v>
      </c>
    </row>
    <row r="150" spans="7:9">
      <c r="G150" s="2"/>
      <c r="H150" s="2"/>
      <c r="I150" s="2">
        <f>SUM(I144:I149)</f>
        <v>479843</v>
      </c>
    </row>
    <row r="152" spans="7:9">
      <c r="G152" s="2">
        <v>2057</v>
      </c>
      <c r="H152" s="2">
        <v>19587</v>
      </c>
      <c r="I152" s="2">
        <v>2670</v>
      </c>
    </row>
    <row r="153" spans="7:9">
      <c r="G153" s="2">
        <v>32048</v>
      </c>
      <c r="H153" s="2">
        <v>57411</v>
      </c>
      <c r="I153" s="2">
        <v>35431</v>
      </c>
    </row>
    <row r="154" spans="7:9">
      <c r="G154" s="2">
        <v>-68723</v>
      </c>
      <c r="H154" s="2">
        <v>-61245</v>
      </c>
      <c r="I154" s="2">
        <v>-47060</v>
      </c>
    </row>
  </sheetData>
  <hyperlinks>
    <hyperlink ref="A1" location="Main!A1" display="Main" xr:uid="{60C80D81-0E4B-4B25-AD2E-47D786B510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Shkreli</dc:creator>
  <cp:keywords/>
  <dc:description/>
  <cp:lastModifiedBy>Toth, Mr. Tim P.</cp:lastModifiedBy>
  <cp:revision/>
  <dcterms:created xsi:type="dcterms:W3CDTF">2025-04-01T14:48:43Z</dcterms:created>
  <dcterms:modified xsi:type="dcterms:W3CDTF">2025-11-04T17:29:35Z</dcterms:modified>
  <cp:category/>
  <cp:contentStatus/>
</cp:coreProperties>
</file>