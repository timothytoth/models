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49" documentId="11_0B1D56BE9CDCCE836B02CE7A5FB0D4A9BBFD1C62" xr6:coauthVersionLast="47" xr6:coauthVersionMax="47" xr10:uidLastSave="{B8082CDC-6C42-41F0-889E-724E07980215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2" l="1"/>
  <c r="Q53" i="2"/>
  <c r="Q43" i="2"/>
  <c r="Q25" i="2"/>
  <c r="Q24" i="2"/>
  <c r="Q22" i="2"/>
  <c r="Q20" i="2"/>
  <c r="Q19" i="2"/>
  <c r="Q12" i="2"/>
  <c r="Q10" i="2"/>
  <c r="H4" i="1"/>
</calcChain>
</file>

<file path=xl/sharedStrings.xml><?xml version="1.0" encoding="utf-8"?>
<sst xmlns="http://schemas.openxmlformats.org/spreadsheetml/2006/main" count="73" uniqueCount="71">
  <si>
    <t>Morgan Stanley</t>
  </si>
  <si>
    <t>price</t>
  </si>
  <si>
    <t>shares</t>
  </si>
  <si>
    <t>mc</t>
  </si>
  <si>
    <t>cash</t>
  </si>
  <si>
    <t>debt</t>
  </si>
  <si>
    <t>ev</t>
  </si>
  <si>
    <t>Main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</si>
  <si>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</si>
  <si>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</si>
  <si>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</si>
  <si>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</si>
  <si>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</si>
  <si>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</si>
  <si>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</si>
  <si>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</si>
  <si>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</si>
  <si>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</si>
  <si>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</si>
  <si>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</si>
  <si>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</si>
  <si>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</si>
  <si>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</si>
  <si>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</si>
  <si>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Investment Banking</t>
  </si>
  <si>
    <t xml:space="preserve">Trading </t>
  </si>
  <si>
    <t>Investments</t>
  </si>
  <si>
    <t>Commisions and Fees</t>
  </si>
  <si>
    <t>Asset Management</t>
  </si>
  <si>
    <t>Other</t>
  </si>
  <si>
    <t>net interest</t>
  </si>
  <si>
    <t>Revenue</t>
  </si>
  <si>
    <t>COGS</t>
  </si>
  <si>
    <t>Gross Margin</t>
  </si>
  <si>
    <t>compensation and benefits</t>
  </si>
  <si>
    <t>information processing and communications</t>
  </si>
  <si>
    <t>professional services</t>
  </si>
  <si>
    <t>occupancy nad equipment</t>
  </si>
  <si>
    <t>marketing and devolopment</t>
  </si>
  <si>
    <t>Opex</t>
  </si>
  <si>
    <t>OpInc</t>
  </si>
  <si>
    <t>Interest Income</t>
  </si>
  <si>
    <t>Pretax Income</t>
  </si>
  <si>
    <t>Taxes</t>
  </si>
  <si>
    <t>Net Income</t>
  </si>
  <si>
    <t>EPS</t>
  </si>
  <si>
    <t>Shares</t>
  </si>
  <si>
    <t>Rev Growth y/y</t>
  </si>
  <si>
    <t>Cash &amp; Equilivants</t>
  </si>
  <si>
    <t>Trading assets</t>
  </si>
  <si>
    <t>available for sale securiity</t>
  </si>
  <si>
    <t>current debt</t>
  </si>
  <si>
    <t>securities purchased agrrements to resell</t>
  </si>
  <si>
    <t>securities borrowed</t>
  </si>
  <si>
    <t>customer and other receivables</t>
  </si>
  <si>
    <t>nc asset held for investment</t>
  </si>
  <si>
    <t>nc held for sale</t>
  </si>
  <si>
    <t>goodwill</t>
  </si>
  <si>
    <t>intanglible assets</t>
  </si>
  <si>
    <t>other assets</t>
  </si>
  <si>
    <t>Assets</t>
  </si>
  <si>
    <t>Deposits</t>
  </si>
  <si>
    <t>Trading liabilities</t>
  </si>
  <si>
    <t>securiities sold to repurchase</t>
  </si>
  <si>
    <t>securitieis loaned</t>
  </si>
  <si>
    <t>other secured financing</t>
  </si>
  <si>
    <t>custer and other payables</t>
  </si>
  <si>
    <t>other liabilitieis and accrued expeses</t>
  </si>
  <si>
    <t>Borrowings- long term debt</t>
  </si>
  <si>
    <t>SE</t>
  </si>
  <si>
    <t>L+SE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</si>
</sst>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H7"/>
  <sheetViews>
    <sheetView workbookViewId="0">
      <selection activeCell="H5" sqref="H5"/>
    </sheetView>
  </sheetViews>
  <sheetFormatPr defaultRowHeight="15"/>
  <cols>
    <col min="8" max="8" width="10.42578125" bestFit="1" customWidth="1"/>
  </cols>
  <sheetData>
    <row r="1" spans="4:8">
      <c r="H1" s="1"/>
    </row>
    <row r="2" spans="4:8">
      <c r="D2" t="s">
        <v>0</v>
      </c>
      <c r="G2" t="s">
        <v>1</v>
      </c>
      <c r="H2" s="1">
        <v>165</v>
      </c>
    </row>
    <row r="3" spans="4:8">
      <c r="G3" t="s">
        <v>2</v>
      </c>
      <c r="H3" s="1">
        <v>1589</v>
      </c>
    </row>
    <row r="4" spans="4:8">
      <c r="G4" t="s">
        <v>3</v>
      </c>
      <c r="H4" s="1">
        <f>+H2*H3</f>
        <v>262185</v>
      </c>
    </row>
    <row r="5" spans="4:8">
      <c r="G5" t="s">
        <v>4</v>
      </c>
      <c r="H5" s="1"/>
    </row>
    <row r="6" spans="4:8">
      <c r="G6" t="s">
        <v>5</v>
      </c>
      <c r="H6" s="1"/>
    </row>
    <row r="7" spans="4:8">
      <c r="G7" t="s">
        <v>6</v>
      </c>
      <c r="H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5C81-6148-4754-A53E-D03DDE3BED3F}">
  <dimension ref="A1:R54"/>
  <sheetViews>
    <sheetView tabSelected="1" workbookViewId="0">
      <pane xSplit="2" ySplit="2" topLeftCell="O46" activePane="bottomRight" state="frozen"/>
      <selection pane="bottomRight" activeCell="Q31" sqref="Q31:Q54"/>
      <selection pane="bottomLeft"/>
      <selection pane="topRight"/>
    </sheetView>
  </sheetViews>
  <sheetFormatPr defaultRowHeight="15"/>
  <cols>
    <col min="17" max="17" width="11.42578125" bestFit="1" customWidth="1"/>
  </cols>
  <sheetData>
    <row r="1" spans="1:18">
      <c r="A1" t="s">
        <v>7</v>
      </c>
    </row>
    <row r="2" spans="1:18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3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3" t="s">
        <v>22</v>
      </c>
      <c r="R2" s="2" t="s">
        <v>23</v>
      </c>
    </row>
    <row r="3" spans="1:18">
      <c r="B3" t="s">
        <v>24</v>
      </c>
      <c r="Q3" s="1">
        <v>2266</v>
      </c>
    </row>
    <row r="4" spans="1:18">
      <c r="B4" t="s">
        <v>25</v>
      </c>
      <c r="Q4" s="1">
        <v>5020</v>
      </c>
    </row>
    <row r="5" spans="1:18">
      <c r="B5" t="s">
        <v>26</v>
      </c>
      <c r="Q5" s="1">
        <v>374</v>
      </c>
    </row>
    <row r="6" spans="1:18">
      <c r="B6" t="s">
        <v>27</v>
      </c>
      <c r="Q6" s="1">
        <v>1473</v>
      </c>
    </row>
    <row r="7" spans="1:18">
      <c r="B7" t="s">
        <v>28</v>
      </c>
      <c r="Q7" s="1">
        <v>6441</v>
      </c>
    </row>
    <row r="8" spans="1:18">
      <c r="B8" t="s">
        <v>29</v>
      </c>
      <c r="Q8" s="1">
        <v>159</v>
      </c>
    </row>
    <row r="9" spans="1:18">
      <c r="B9" t="s">
        <v>30</v>
      </c>
      <c r="Q9" s="1">
        <v>2491</v>
      </c>
    </row>
    <row r="10" spans="1:18">
      <c r="B10" t="s">
        <v>31</v>
      </c>
      <c r="Q10" s="1">
        <f>SUM(Q3:Q9)</f>
        <v>18224</v>
      </c>
    </row>
    <row r="11" spans="1:18">
      <c r="B11" t="s">
        <v>32</v>
      </c>
      <c r="Q11" s="1">
        <v>1141</v>
      </c>
    </row>
    <row r="12" spans="1:18">
      <c r="B12" t="s">
        <v>33</v>
      </c>
      <c r="Q12" s="1">
        <f>+Q10-Q11</f>
        <v>17083</v>
      </c>
    </row>
    <row r="13" spans="1:18">
      <c r="B13" t="s">
        <v>34</v>
      </c>
      <c r="Q13" s="1">
        <v>7442</v>
      </c>
    </row>
    <row r="14" spans="1:18">
      <c r="B14" t="s">
        <v>35</v>
      </c>
      <c r="Q14" s="1">
        <v>1119</v>
      </c>
    </row>
    <row r="15" spans="1:18">
      <c r="B15" t="s">
        <v>36</v>
      </c>
      <c r="Q15" s="1">
        <v>685</v>
      </c>
    </row>
    <row r="16" spans="1:18">
      <c r="B16" t="s">
        <v>37</v>
      </c>
      <c r="Q16" s="1">
        <v>473</v>
      </c>
    </row>
    <row r="17" spans="2:17">
      <c r="B17" t="s">
        <v>38</v>
      </c>
      <c r="Q17" s="1">
        <v>280</v>
      </c>
    </row>
    <row r="18" spans="2:17">
      <c r="B18" t="s">
        <v>29</v>
      </c>
      <c r="Q18" s="1">
        <v>1056</v>
      </c>
    </row>
    <row r="19" spans="2:17">
      <c r="B19" t="s">
        <v>39</v>
      </c>
      <c r="Q19" s="1">
        <f>SUM(Q13:Q18)</f>
        <v>11055</v>
      </c>
    </row>
    <row r="20" spans="2:17">
      <c r="B20" t="s">
        <v>40</v>
      </c>
      <c r="Q20" s="1">
        <f>+Q12-Q19</f>
        <v>6028</v>
      </c>
    </row>
    <row r="21" spans="2:17">
      <c r="B21" t="s">
        <v>41</v>
      </c>
      <c r="Q21" s="1">
        <v>1373</v>
      </c>
    </row>
    <row r="22" spans="2:17">
      <c r="B22" t="s">
        <v>42</v>
      </c>
      <c r="Q22" s="1">
        <f>+Q20+Q21</f>
        <v>7401</v>
      </c>
    </row>
    <row r="23" spans="2:17">
      <c r="B23" t="s">
        <v>43</v>
      </c>
      <c r="Q23" s="1">
        <v>1373</v>
      </c>
    </row>
    <row r="24" spans="2:17">
      <c r="B24" t="s">
        <v>44</v>
      </c>
      <c r="Q24" s="1">
        <f>+Q22-Q23</f>
        <v>6028</v>
      </c>
    </row>
    <row r="25" spans="2:17">
      <c r="B25" t="s">
        <v>45</v>
      </c>
      <c r="Q25" s="4">
        <f>+Q24/Q26</f>
        <v>3.7911949685534592</v>
      </c>
    </row>
    <row r="26" spans="2:17">
      <c r="B26" t="s">
        <v>46</v>
      </c>
      <c r="Q26" s="1">
        <v>1590</v>
      </c>
    </row>
    <row r="28" spans="2:17">
      <c r="B28" t="s">
        <v>47</v>
      </c>
    </row>
    <row r="29" spans="2:17">
      <c r="B29" t="s">
        <v>33</v>
      </c>
    </row>
    <row r="31" spans="2:17">
      <c r="B31" t="s">
        <v>48</v>
      </c>
      <c r="Q31" s="1">
        <v>103734</v>
      </c>
    </row>
    <row r="32" spans="2:17">
      <c r="B32" t="s">
        <v>49</v>
      </c>
      <c r="Q32" s="1">
        <v>423823</v>
      </c>
    </row>
    <row r="33" spans="2:17">
      <c r="B33" t="s">
        <v>50</v>
      </c>
      <c r="Q33" s="1">
        <v>108327</v>
      </c>
    </row>
    <row r="34" spans="2:17">
      <c r="B34" t="s">
        <v>51</v>
      </c>
      <c r="Q34" s="1">
        <v>55205</v>
      </c>
    </row>
    <row r="35" spans="2:17">
      <c r="B35" t="s">
        <v>52</v>
      </c>
      <c r="Q35" s="1">
        <v>111734</v>
      </c>
    </row>
    <row r="36" spans="2:17">
      <c r="B36" t="s">
        <v>53</v>
      </c>
      <c r="Q36" s="1">
        <v>129113</v>
      </c>
    </row>
    <row r="37" spans="2:17">
      <c r="B37" t="s">
        <v>54</v>
      </c>
      <c r="Q37" s="1">
        <v>113257</v>
      </c>
    </row>
    <row r="38" spans="2:17">
      <c r="B38" t="s">
        <v>55</v>
      </c>
      <c r="Q38" s="1">
        <v>255867</v>
      </c>
    </row>
    <row r="39" spans="2:17">
      <c r="B39" t="s">
        <v>56</v>
      </c>
      <c r="Q39" s="1">
        <v>11433</v>
      </c>
    </row>
    <row r="40" spans="2:17">
      <c r="B40" t="s">
        <v>57</v>
      </c>
      <c r="Q40" s="1">
        <v>16725</v>
      </c>
    </row>
    <row r="41" spans="2:17">
      <c r="B41" t="s">
        <v>58</v>
      </c>
      <c r="Q41" s="1">
        <v>6097</v>
      </c>
    </row>
    <row r="42" spans="2:17">
      <c r="B42" t="s">
        <v>59</v>
      </c>
      <c r="Q42" s="1">
        <v>29491</v>
      </c>
    </row>
    <row r="43" spans="2:17">
      <c r="B43" t="s">
        <v>60</v>
      </c>
      <c r="Q43" s="1">
        <f>SUM(Q31:Q42)</f>
        <v>1364806</v>
      </c>
    </row>
    <row r="44" spans="2:17">
      <c r="Q44" s="1"/>
    </row>
    <row r="45" spans="2:17">
      <c r="B45" t="s">
        <v>61</v>
      </c>
      <c r="Q45" s="1">
        <v>405480</v>
      </c>
    </row>
    <row r="46" spans="2:17">
      <c r="B46" t="s">
        <v>62</v>
      </c>
      <c r="Q46" s="1">
        <v>162408</v>
      </c>
    </row>
    <row r="47" spans="2:17">
      <c r="B47" t="s">
        <v>63</v>
      </c>
      <c r="Q47" s="1">
        <v>61504</v>
      </c>
    </row>
    <row r="48" spans="2:17">
      <c r="B48" t="s">
        <v>64</v>
      </c>
      <c r="Q48" s="1">
        <v>15944</v>
      </c>
    </row>
    <row r="49" spans="2:17">
      <c r="B49" t="s">
        <v>65</v>
      </c>
      <c r="Q49" s="1">
        <v>21441</v>
      </c>
    </row>
    <row r="50" spans="2:17">
      <c r="B50" t="s">
        <v>66</v>
      </c>
      <c r="Q50" s="1">
        <v>226445</v>
      </c>
    </row>
    <row r="51" spans="2:17">
      <c r="B51" t="s">
        <v>67</v>
      </c>
      <c r="Q51" s="1">
        <v>28854</v>
      </c>
    </row>
    <row r="52" spans="2:17">
      <c r="B52" t="s">
        <v>68</v>
      </c>
      <c r="Q52" s="1">
        <v>331679</v>
      </c>
    </row>
    <row r="53" spans="2:17">
      <c r="B53" t="s">
        <v>69</v>
      </c>
      <c r="Q53" s="1">
        <f>SUM(Q45:Q52)</f>
        <v>1253755</v>
      </c>
    </row>
    <row r="54" spans="2:17">
      <c r="B54" t="s">
        <v>70</v>
      </c>
      <c r="Q54" s="1">
        <f>SUM(Q45:Q53)</f>
        <v>2507510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2025-11-04T18:44:58Z</dcterms:created>
  <dcterms:modified xsi:type="dcterms:W3CDTF">2025-11-04T19:09:35Z</dcterms:modified>
  <cp:category/>
  <cp:contentStatus/>
</cp:coreProperties>
</file>