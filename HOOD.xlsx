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shkre\code\models\"/>
    </mc:Choice>
  </mc:AlternateContent>
  <xr:revisionPtr revIDLastSave="1888" documentId="13_ncr:1_{D99EB9A7-76DC-41FA-946F-F4609E98DE6B}" xr6:coauthVersionLast="47" xr6:coauthVersionMax="47" xr10:uidLastSave="{05FEBA02-824B-4E18-B2CB-BB7978E6D6BA}"/>
  <bookViews>
    <workbookView xWindow="-32400" yWindow="1200" windowWidth="29955" windowHeight="18015" firstSheet="1" activeTab="3" xr2:uid="{3FB16939-449F-4D82-9510-64D6014B28F9}"/>
  </bookViews>
  <sheets>
    <sheet name="Main" sheetId="1" r:id="rId1"/>
    <sheet name="Model" sheetId="2" r:id="rId2"/>
    <sheet name="Calc" sheetId="4" r:id="rId3"/>
    <sheet name="Broker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1" i="2" l="1"/>
  <c r="AD30" i="2"/>
  <c r="AC30" i="2"/>
  <c r="AB30" i="2"/>
  <c r="AA30" i="2"/>
  <c r="Y30" i="2"/>
  <c r="Z30" i="2"/>
  <c r="AD19" i="2"/>
  <c r="AC19" i="2"/>
  <c r="AB19" i="2"/>
  <c r="AA19" i="2"/>
  <c r="Z19" i="2"/>
  <c r="Y32" i="2"/>
  <c r="Y33" i="2" s="1"/>
  <c r="AD27" i="2"/>
  <c r="AC27" i="2"/>
  <c r="AB27" i="2"/>
  <c r="AA27" i="2"/>
  <c r="Z27" i="2"/>
  <c r="Y27" i="2"/>
  <c r="Y28" i="2" s="1"/>
  <c r="Y26" i="2"/>
  <c r="Z26" i="2" s="1"/>
  <c r="AA26" i="2" s="1"/>
  <c r="AB26" i="2" s="1"/>
  <c r="AC26" i="2" s="1"/>
  <c r="AD26" i="2" s="1"/>
  <c r="Y25" i="2"/>
  <c r="Z25" i="2" s="1"/>
  <c r="AA25" i="2" s="1"/>
  <c r="AB25" i="2" s="1"/>
  <c r="AC25" i="2" s="1"/>
  <c r="AD25" i="2" s="1"/>
  <c r="Y24" i="2"/>
  <c r="Z24" i="2" s="1"/>
  <c r="AA24" i="2" s="1"/>
  <c r="AB24" i="2" s="1"/>
  <c r="AC24" i="2" s="1"/>
  <c r="AD24" i="2" s="1"/>
  <c r="Y23" i="2"/>
  <c r="Z23" i="2" s="1"/>
  <c r="AA23" i="2" s="1"/>
  <c r="AB23" i="2" s="1"/>
  <c r="AC23" i="2" s="1"/>
  <c r="AD23" i="2" s="1"/>
  <c r="Z22" i="2"/>
  <c r="AA22" i="2" s="1"/>
  <c r="AB22" i="2" s="1"/>
  <c r="AC22" i="2" s="1"/>
  <c r="AD22" i="2" s="1"/>
  <c r="Y22" i="2"/>
  <c r="Z21" i="2"/>
  <c r="Y21" i="2"/>
  <c r="Y19" i="2"/>
  <c r="Y49" i="2"/>
  <c r="P40" i="2"/>
  <c r="L5" i="1"/>
  <c r="C75" i="2"/>
  <c r="C73" i="2"/>
  <c r="C64" i="2"/>
  <c r="C56" i="2"/>
  <c r="C57" i="2"/>
  <c r="C42" i="2"/>
  <c r="C41" i="2"/>
  <c r="D75" i="2"/>
  <c r="D73" i="2"/>
  <c r="D64" i="2"/>
  <c r="D56" i="2"/>
  <c r="D57" i="2"/>
  <c r="D42" i="2"/>
  <c r="D41" i="2"/>
  <c r="E75" i="2"/>
  <c r="E73" i="2"/>
  <c r="E64" i="2"/>
  <c r="E42" i="2"/>
  <c r="E41" i="2"/>
  <c r="J73" i="2"/>
  <c r="J42" i="2"/>
  <c r="J41" i="2"/>
  <c r="J31" i="2"/>
  <c r="J29" i="2"/>
  <c r="J26" i="2"/>
  <c r="J25" i="2"/>
  <c r="J23" i="2"/>
  <c r="J22" i="2"/>
  <c r="J20" i="2"/>
  <c r="J19" i="2"/>
  <c r="J18" i="2"/>
  <c r="J17" i="2"/>
  <c r="J15" i="2"/>
  <c r="J14" i="2"/>
  <c r="J13" i="2"/>
  <c r="J12" i="2"/>
  <c r="G73" i="2"/>
  <c r="G42" i="2"/>
  <c r="G41" i="2"/>
  <c r="H73" i="2"/>
  <c r="H42" i="2"/>
  <c r="H41" i="2"/>
  <c r="I73" i="2"/>
  <c r="I71" i="2"/>
  <c r="I42" i="2"/>
  <c r="I41" i="2"/>
  <c r="N73" i="2"/>
  <c r="N42" i="2"/>
  <c r="N41" i="2"/>
  <c r="N31" i="2"/>
  <c r="N29" i="2"/>
  <c r="N26" i="2"/>
  <c r="N25" i="2"/>
  <c r="N24" i="2"/>
  <c r="N23" i="2"/>
  <c r="N22" i="2"/>
  <c r="N20" i="2"/>
  <c r="N18" i="2"/>
  <c r="N17" i="2"/>
  <c r="K73" i="2"/>
  <c r="K42" i="2"/>
  <c r="K41" i="2"/>
  <c r="L73" i="2"/>
  <c r="L42" i="2"/>
  <c r="L41" i="2"/>
  <c r="N75" i="2"/>
  <c r="M42" i="2"/>
  <c r="M41" i="2"/>
  <c r="F75" i="2"/>
  <c r="G75" i="2"/>
  <c r="H75" i="2"/>
  <c r="I75" i="2"/>
  <c r="J75" i="2"/>
  <c r="K75" i="2"/>
  <c r="L75" i="2"/>
  <c r="O42" i="2"/>
  <c r="O41" i="2"/>
  <c r="H66" i="2"/>
  <c r="H67" i="2" s="1"/>
  <c r="G66" i="2"/>
  <c r="G67" i="2" s="1"/>
  <c r="F66" i="2"/>
  <c r="F67" i="2" s="1"/>
  <c r="F42" i="2"/>
  <c r="H57" i="2"/>
  <c r="G57" i="2"/>
  <c r="F41" i="2"/>
  <c r="F57" i="2" s="1"/>
  <c r="E66" i="2"/>
  <c r="E67" i="2" s="1"/>
  <c r="D66" i="2"/>
  <c r="D67" i="2" s="1"/>
  <c r="C66" i="2"/>
  <c r="C67" i="2" s="1"/>
  <c r="E57" i="2"/>
  <c r="I66" i="2"/>
  <c r="I67" i="2" s="1"/>
  <c r="I57" i="2"/>
  <c r="J66" i="2"/>
  <c r="J67" i="2" s="1"/>
  <c r="J57" i="2"/>
  <c r="K66" i="2"/>
  <c r="K67" i="2" s="1"/>
  <c r="K57" i="2"/>
  <c r="L66" i="2"/>
  <c r="L67" i="2" s="1"/>
  <c r="L57" i="2"/>
  <c r="M66" i="2"/>
  <c r="M67" i="2" s="1"/>
  <c r="M57" i="2"/>
  <c r="N66" i="2"/>
  <c r="N67" i="2" s="1"/>
  <c r="N57" i="2"/>
  <c r="O66" i="2"/>
  <c r="O67" i="2" s="1"/>
  <c r="O57" i="2"/>
  <c r="P66" i="2"/>
  <c r="P67" i="2"/>
  <c r="P42" i="2"/>
  <c r="P41" i="2"/>
  <c r="C16" i="2"/>
  <c r="O16" i="2"/>
  <c r="M16" i="2"/>
  <c r="L16" i="2"/>
  <c r="K16" i="2"/>
  <c r="J16" i="2"/>
  <c r="I16" i="2"/>
  <c r="H16" i="2"/>
  <c r="G16" i="2"/>
  <c r="F16" i="2"/>
  <c r="E16" i="2"/>
  <c r="D16" i="2"/>
  <c r="P16" i="2"/>
  <c r="L3" i="1"/>
  <c r="V31" i="2"/>
  <c r="V29" i="2"/>
  <c r="V26" i="2"/>
  <c r="V25" i="2"/>
  <c r="V23" i="2"/>
  <c r="V22" i="2"/>
  <c r="V27" i="2" s="1"/>
  <c r="V20" i="2"/>
  <c r="V18" i="2"/>
  <c r="V17" i="2"/>
  <c r="V16" i="2"/>
  <c r="V19" i="2" s="1"/>
  <c r="V21" i="2" s="1"/>
  <c r="V14" i="2"/>
  <c r="V13" i="2"/>
  <c r="V12" i="2"/>
  <c r="W12" i="2"/>
  <c r="W31" i="2"/>
  <c r="W26" i="2"/>
  <c r="W25" i="2"/>
  <c r="W23" i="2"/>
  <c r="W22" i="2"/>
  <c r="W27" i="2" s="1"/>
  <c r="W20" i="2"/>
  <c r="W18" i="2"/>
  <c r="W17" i="2"/>
  <c r="W16" i="2"/>
  <c r="W19" i="2" s="1"/>
  <c r="W14" i="2"/>
  <c r="W13" i="2"/>
  <c r="X23" i="2"/>
  <c r="N5" i="2"/>
  <c r="P5" i="2"/>
  <c r="J71" i="2"/>
  <c r="F70" i="2"/>
  <c r="F69" i="2"/>
  <c r="F71" i="2"/>
  <c r="F5" i="2"/>
  <c r="C71" i="2"/>
  <c r="C27" i="2"/>
  <c r="C19" i="2"/>
  <c r="C10" i="2"/>
  <c r="C5" i="2"/>
  <c r="D71" i="2"/>
  <c r="D27" i="2"/>
  <c r="D19" i="2"/>
  <c r="D10" i="2"/>
  <c r="D5" i="2"/>
  <c r="E71" i="2"/>
  <c r="E27" i="2"/>
  <c r="E19" i="2"/>
  <c r="E5" i="2"/>
  <c r="H5" i="2"/>
  <c r="H71" i="2"/>
  <c r="G71" i="2"/>
  <c r="G27" i="2"/>
  <c r="G19" i="2"/>
  <c r="G36" i="2" s="1"/>
  <c r="G10" i="2"/>
  <c r="G5" i="2"/>
  <c r="I27" i="2"/>
  <c r="I19" i="2"/>
  <c r="I36" i="2" s="1"/>
  <c r="I10" i="2"/>
  <c r="I5" i="2"/>
  <c r="J5" i="2"/>
  <c r="K5" i="2"/>
  <c r="K71" i="2"/>
  <c r="K33" i="2"/>
  <c r="K27" i="2"/>
  <c r="K19" i="2"/>
  <c r="K10" i="2"/>
  <c r="M71" i="2"/>
  <c r="M73" i="2" s="1"/>
  <c r="M75" i="2" s="1"/>
  <c r="M33" i="2"/>
  <c r="M27" i="2"/>
  <c r="M19" i="2"/>
  <c r="M21" i="2" s="1"/>
  <c r="M10" i="2"/>
  <c r="M5" i="2"/>
  <c r="N32" i="2"/>
  <c r="X31" i="2"/>
  <c r="N30" i="2"/>
  <c r="X29" i="2"/>
  <c r="X26" i="2"/>
  <c r="X25" i="2"/>
  <c r="X22" i="2"/>
  <c r="X20" i="2"/>
  <c r="X18" i="2"/>
  <c r="X17" i="2"/>
  <c r="X14" i="2"/>
  <c r="X13" i="2"/>
  <c r="N71" i="2"/>
  <c r="N33" i="2"/>
  <c r="N27" i="2"/>
  <c r="O27" i="2"/>
  <c r="O71" i="2"/>
  <c r="O73" i="2" s="1"/>
  <c r="O75" i="2" s="1"/>
  <c r="O33" i="2"/>
  <c r="O19" i="2"/>
  <c r="O10" i="2"/>
  <c r="O5" i="2"/>
  <c r="P71" i="2"/>
  <c r="P73" i="2" s="1"/>
  <c r="P75" i="2" s="1"/>
  <c r="P57" i="2"/>
  <c r="P27" i="2"/>
  <c r="P19" i="2"/>
  <c r="P10" i="2" s="1"/>
  <c r="G6" i="3"/>
  <c r="G3" i="3"/>
  <c r="G2" i="3"/>
  <c r="L5" i="2"/>
  <c r="C8" i="3"/>
  <c r="D3" i="3" s="1"/>
  <c r="AA21" i="2" l="1"/>
  <c r="Z28" i="2"/>
  <c r="Z32" i="2" s="1"/>
  <c r="Z33" i="2" s="1"/>
  <c r="AA28" i="2"/>
  <c r="AA32" i="2" s="1"/>
  <c r="AA33" i="2" s="1"/>
  <c r="X12" i="2"/>
  <c r="N16" i="2"/>
  <c r="W21" i="2"/>
  <c r="W36" i="2"/>
  <c r="V28" i="2"/>
  <c r="V37" i="2"/>
  <c r="X27" i="2"/>
  <c r="C21" i="2"/>
  <c r="C37" i="2" s="1"/>
  <c r="D21" i="2"/>
  <c r="E21" i="2"/>
  <c r="G21" i="2"/>
  <c r="I21" i="2"/>
  <c r="K36" i="2"/>
  <c r="K21" i="2"/>
  <c r="M36" i="2"/>
  <c r="P21" i="2"/>
  <c r="O36" i="2"/>
  <c r="O21" i="2"/>
  <c r="F27" i="2"/>
  <c r="F19" i="2"/>
  <c r="W29" i="2"/>
  <c r="J27" i="2"/>
  <c r="J10" i="2"/>
  <c r="L71" i="2"/>
  <c r="H27" i="2"/>
  <c r="L27" i="2"/>
  <c r="H19" i="2"/>
  <c r="L19" i="2"/>
  <c r="L4" i="1"/>
  <c r="L7" i="1" s="1"/>
  <c r="AB21" i="2" l="1"/>
  <c r="AB28" i="2" s="1"/>
  <c r="AB32" i="2" s="1"/>
  <c r="AB33" i="2" s="1"/>
  <c r="X16" i="2"/>
  <c r="X19" i="2" s="1"/>
  <c r="N19" i="2"/>
  <c r="V30" i="2"/>
  <c r="V32" i="2" s="1"/>
  <c r="V33" i="2" s="1"/>
  <c r="V38" i="2"/>
  <c r="W28" i="2"/>
  <c r="W37" i="2"/>
  <c r="O28" i="2"/>
  <c r="O37" i="2"/>
  <c r="P28" i="2"/>
  <c r="P37" i="2"/>
  <c r="M28" i="2"/>
  <c r="M37" i="2"/>
  <c r="K28" i="2"/>
  <c r="K37" i="2"/>
  <c r="I28" i="2"/>
  <c r="I37" i="2"/>
  <c r="G28" i="2"/>
  <c r="G37" i="2"/>
  <c r="E28" i="2"/>
  <c r="E38" i="2" s="1"/>
  <c r="E37" i="2"/>
  <c r="D28" i="2"/>
  <c r="D37" i="2"/>
  <c r="F10" i="2"/>
  <c r="E30" i="2"/>
  <c r="E32" i="2" s="1"/>
  <c r="E33" i="2" s="1"/>
  <c r="C28" i="2"/>
  <c r="H21" i="2"/>
  <c r="H37" i="2" s="1"/>
  <c r="H36" i="2"/>
  <c r="H10" i="2"/>
  <c r="F21" i="2"/>
  <c r="F37" i="2" s="1"/>
  <c r="E10" i="2"/>
  <c r="J21" i="2"/>
  <c r="J37" i="2" s="1"/>
  <c r="N36" i="2"/>
  <c r="L21" i="2"/>
  <c r="L37" i="2" s="1"/>
  <c r="P36" i="2"/>
  <c r="F28" i="2"/>
  <c r="F38" i="2" s="1"/>
  <c r="J36" i="2"/>
  <c r="J28" i="2"/>
  <c r="L10" i="2"/>
  <c r="L36" i="2"/>
  <c r="L28" i="2"/>
  <c r="H28" i="2"/>
  <c r="AC21" i="2" l="1"/>
  <c r="AC28" i="2" s="1"/>
  <c r="AC32" i="2" s="1"/>
  <c r="AC33" i="2" s="1"/>
  <c r="AD21" i="2"/>
  <c r="AD28" i="2" s="1"/>
  <c r="AD32" i="2" s="1"/>
  <c r="AD33" i="2" s="1"/>
  <c r="N10" i="2"/>
  <c r="N21" i="2"/>
  <c r="X36" i="2"/>
  <c r="X21" i="2"/>
  <c r="W38" i="2"/>
  <c r="W30" i="2"/>
  <c r="W32" i="2" s="1"/>
  <c r="W33" i="2" s="1"/>
  <c r="H30" i="2"/>
  <c r="H32" i="2" s="1"/>
  <c r="H33" i="2" s="1"/>
  <c r="H38" i="2"/>
  <c r="L30" i="2"/>
  <c r="L32" i="2" s="1"/>
  <c r="L33" i="2" s="1"/>
  <c r="L38" i="2"/>
  <c r="J30" i="2"/>
  <c r="J32" i="2" s="1"/>
  <c r="J33" i="2" s="1"/>
  <c r="J38" i="2"/>
  <c r="F30" i="2"/>
  <c r="F32" i="2" s="1"/>
  <c r="F33" i="2" s="1"/>
  <c r="C30" i="2"/>
  <c r="C32" i="2" s="1"/>
  <c r="C33" i="2" s="1"/>
  <c r="C38" i="2"/>
  <c r="D30" i="2"/>
  <c r="D32" i="2" s="1"/>
  <c r="D33" i="2" s="1"/>
  <c r="D38" i="2"/>
  <c r="G30" i="2"/>
  <c r="G32" i="2" s="1"/>
  <c r="G33" i="2" s="1"/>
  <c r="G38" i="2"/>
  <c r="I30" i="2"/>
  <c r="I32" i="2" s="1"/>
  <c r="I33" i="2" s="1"/>
  <c r="I38" i="2"/>
  <c r="K30" i="2"/>
  <c r="K38" i="2"/>
  <c r="M30" i="2"/>
  <c r="M38" i="2"/>
  <c r="P30" i="2"/>
  <c r="P33" i="2" s="1"/>
  <c r="P38" i="2"/>
  <c r="O30" i="2"/>
  <c r="O38" i="2"/>
  <c r="Y36" i="2" l="1"/>
  <c r="X37" i="2"/>
  <c r="X28" i="2"/>
  <c r="N28" i="2"/>
  <c r="N38" i="2" s="1"/>
  <c r="N37" i="2"/>
  <c r="X30" i="2" l="1"/>
  <c r="X32" i="2" s="1"/>
  <c r="X33" i="2" s="1"/>
  <c r="X38" i="2"/>
  <c r="Y37" i="2"/>
  <c r="Z36" i="2"/>
  <c r="AA36" i="2" l="1"/>
  <c r="Z37" i="2"/>
  <c r="Y38" i="2"/>
  <c r="Z38" i="2" l="1"/>
  <c r="AB36" i="2"/>
  <c r="AA37" i="2"/>
  <c r="AA38" i="2" l="1"/>
  <c r="AC36" i="2"/>
  <c r="AB37" i="2"/>
  <c r="AB38" i="2" l="1"/>
  <c r="AD36" i="2"/>
  <c r="AC37" i="2"/>
  <c r="AC38" i="2" l="1"/>
  <c r="AD37" i="2"/>
  <c r="AD38" i="2" l="1"/>
  <c r="AE32" i="2" l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BC32" i="2" s="1"/>
  <c r="BD32" i="2" s="1"/>
  <c r="BE32" i="2" s="1"/>
  <c r="BF32" i="2" s="1"/>
  <c r="BG32" i="2" s="1"/>
  <c r="BH32" i="2" s="1"/>
  <c r="BI32" i="2" s="1"/>
  <c r="BJ32" i="2" s="1"/>
  <c r="BK32" i="2" s="1"/>
  <c r="BL32" i="2" s="1"/>
  <c r="BM32" i="2" s="1"/>
  <c r="BN32" i="2" s="1"/>
  <c r="BO32" i="2" s="1"/>
  <c r="BP32" i="2" s="1"/>
  <c r="BQ32" i="2" s="1"/>
  <c r="BR32" i="2" s="1"/>
  <c r="BS32" i="2" s="1"/>
  <c r="BT32" i="2" s="1"/>
  <c r="BU32" i="2" s="1"/>
  <c r="BV32" i="2" s="1"/>
  <c r="BW32" i="2" s="1"/>
  <c r="BX32" i="2" s="1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EK32" i="2" s="1"/>
  <c r="EL32" i="2" s="1"/>
  <c r="EM32" i="2" s="1"/>
  <c r="EN32" i="2" s="1"/>
  <c r="EO32" i="2" s="1"/>
  <c r="EP32" i="2" s="1"/>
  <c r="EQ32" i="2" s="1"/>
  <c r="ER32" i="2" s="1"/>
  <c r="ES32" i="2" s="1"/>
  <c r="ET32" i="2" s="1"/>
  <c r="EU32" i="2" s="1"/>
  <c r="EV32" i="2" s="1"/>
  <c r="EW32" i="2" s="1"/>
  <c r="EX32" i="2" s="1"/>
  <c r="EY32" i="2" s="1"/>
  <c r="EZ32" i="2" s="1"/>
  <c r="FA32" i="2" s="1"/>
  <c r="FB32" i="2" s="1"/>
  <c r="FC32" i="2" s="1"/>
  <c r="FD32" i="2" s="1"/>
  <c r="FE32" i="2" s="1"/>
  <c r="FF32" i="2" s="1"/>
  <c r="FG32" i="2" s="1"/>
  <c r="FH32" i="2" s="1"/>
  <c r="FI32" i="2" s="1"/>
  <c r="FJ32" i="2" s="1"/>
  <c r="FK32" i="2" s="1"/>
  <c r="FL32" i="2" s="1"/>
  <c r="FM32" i="2" s="1"/>
  <c r="FN32" i="2" s="1"/>
  <c r="FO32" i="2" s="1"/>
  <c r="FP32" i="2" s="1"/>
  <c r="FQ32" i="2" s="1"/>
  <c r="FR32" i="2" s="1"/>
  <c r="FS32" i="2" s="1"/>
  <c r="FT32" i="2" s="1"/>
  <c r="FU32" i="2" s="1"/>
  <c r="FV32" i="2" s="1"/>
  <c r="FW32" i="2" s="1"/>
  <c r="FX32" i="2" s="1"/>
  <c r="FY32" i="2" s="1"/>
  <c r="FZ32" i="2" s="1"/>
  <c r="GA32" i="2" s="1"/>
  <c r="GB32" i="2" s="1"/>
  <c r="GC32" i="2" s="1"/>
  <c r="GD32" i="2" s="1"/>
  <c r="GE32" i="2" s="1"/>
  <c r="GF32" i="2" s="1"/>
  <c r="GG32" i="2" s="1"/>
  <c r="GH32" i="2" s="1"/>
  <c r="GI32" i="2" s="1"/>
  <c r="GJ32" i="2" s="1"/>
  <c r="GK32" i="2" s="1"/>
  <c r="GL32" i="2" s="1"/>
  <c r="GM32" i="2" s="1"/>
  <c r="GN32" i="2" s="1"/>
  <c r="GO32" i="2" s="1"/>
  <c r="GP32" i="2" s="1"/>
  <c r="GQ32" i="2" s="1"/>
  <c r="GR32" i="2" s="1"/>
  <c r="GS32" i="2" s="1"/>
  <c r="GT32" i="2" s="1"/>
  <c r="GU32" i="2" s="1"/>
  <c r="GV32" i="2" s="1"/>
  <c r="AG40" i="2"/>
  <c r="AG41" i="2" l="1"/>
  <c r="AG42" i="2" s="1"/>
</calcChain>
</file>

<file path=xl/sharedStrings.xml><?xml version="1.0" encoding="utf-8"?>
<sst xmlns="http://schemas.openxmlformats.org/spreadsheetml/2006/main" count="128" uniqueCount="103">
  <si>
    <t>robinhood</t>
  </si>
  <si>
    <t>Price</t>
  </si>
  <si>
    <t>Shares</t>
  </si>
  <si>
    <t>Q225</t>
  </si>
  <si>
    <t>robiinhood</t>
  </si>
  <si>
    <t>MC</t>
  </si>
  <si>
    <t>Cash</t>
  </si>
  <si>
    <t>Debt</t>
  </si>
  <si>
    <t>EV</t>
  </si>
  <si>
    <t>Main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</si>
  <si>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</si>
  <si>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</si>
  <si>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</si>
  <si>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</si>
  <si>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</si>
  <si>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</si>
  <si>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</si>
  <si>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</si>
  <si>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</si>
  <si>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</si>
  <si>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</si>
  <si>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</si>
  <si>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</si>
  <si>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</si>
  <si>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</si>
  <si>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Options Contracts</t>
  </si>
  <si>
    <t>Average Client Balance</t>
  </si>
  <si>
    <t>AUC</t>
  </si>
  <si>
    <t>Net Deposits Additions</t>
  </si>
  <si>
    <t>Gold</t>
  </si>
  <si>
    <t>Funded Customers</t>
  </si>
  <si>
    <t>ARPU</t>
  </si>
  <si>
    <t>Equities</t>
  </si>
  <si>
    <t>Crypto</t>
  </si>
  <si>
    <t>Options</t>
  </si>
  <si>
    <t>Other</t>
  </si>
  <si>
    <t>Transactions</t>
  </si>
  <si>
    <t>Net Interest</t>
  </si>
  <si>
    <t>Revenue</t>
  </si>
  <si>
    <t>COGS</t>
  </si>
  <si>
    <t>Gross Margin</t>
  </si>
  <si>
    <t>Tech</t>
  </si>
  <si>
    <t>Operations</t>
  </si>
  <si>
    <t>Provision for credit losses</t>
  </si>
  <si>
    <t>Marketing</t>
  </si>
  <si>
    <t>G&amp;A</t>
  </si>
  <si>
    <t>Operating Expenses</t>
  </si>
  <si>
    <t>Operating Income</t>
  </si>
  <si>
    <t>Other Income</t>
  </si>
  <si>
    <t>Pretax Income</t>
  </si>
  <si>
    <t>Taxes</t>
  </si>
  <si>
    <t>Net Income</t>
  </si>
  <si>
    <t>EPS</t>
  </si>
  <si>
    <t>Revenue Growth y/y</t>
  </si>
  <si>
    <t>Terminal</t>
  </si>
  <si>
    <t>Operating Margin</t>
  </si>
  <si>
    <t>Discount</t>
  </si>
  <si>
    <t>ROIC</t>
  </si>
  <si>
    <t>net cash</t>
  </si>
  <si>
    <t>NPV</t>
  </si>
  <si>
    <t>cash and cash equilivants</t>
  </si>
  <si>
    <t>Share</t>
  </si>
  <si>
    <t>ar</t>
  </si>
  <si>
    <t>Upside</t>
  </si>
  <si>
    <t>securities borrowed</t>
  </si>
  <si>
    <t>deposits with clearing org</t>
  </si>
  <si>
    <t>asset related to user crypto safeguarding obligation</t>
  </si>
  <si>
    <t>user held fractional shares</t>
  </si>
  <si>
    <t>held to maturity investments</t>
  </si>
  <si>
    <t>prepaid expenses</t>
  </si>
  <si>
    <t>deferred customer match incentives</t>
  </si>
  <si>
    <t>oca</t>
  </si>
  <si>
    <t>ppe</t>
  </si>
  <si>
    <t>goodwill</t>
  </si>
  <si>
    <t>intanglible assets</t>
  </si>
  <si>
    <t>nc held to maturity investments</t>
  </si>
  <si>
    <t>nc dc match incentives</t>
  </si>
  <si>
    <t xml:space="preserve">onca </t>
  </si>
  <si>
    <t>Assets</t>
  </si>
  <si>
    <t>AP</t>
  </si>
  <si>
    <t>Payable to users</t>
  </si>
  <si>
    <t>securities loaned</t>
  </si>
  <si>
    <t>user crypto safeguarding obligation</t>
  </si>
  <si>
    <t>fractional share repurchase obligation</t>
  </si>
  <si>
    <t>ocl</t>
  </si>
  <si>
    <t>oncl</t>
  </si>
  <si>
    <t>SE</t>
  </si>
  <si>
    <t>L+SE</t>
  </si>
  <si>
    <t>CFFO</t>
  </si>
  <si>
    <t>CFFO+Gold</t>
  </si>
  <si>
    <t>capex</t>
  </si>
  <si>
    <t>FCF</t>
  </si>
  <si>
    <t>auc</t>
  </si>
  <si>
    <t>billions</t>
  </si>
  <si>
    <t>Schwab</t>
  </si>
  <si>
    <t>RH</t>
  </si>
  <si>
    <t>MoStan</t>
  </si>
  <si>
    <t>Fidelity</t>
  </si>
  <si>
    <t>IBKR</t>
  </si>
  <si>
    <t>SOFI</t>
  </si>
  <si>
    <t>Total</t>
  </si>
  <si>
    <t>coinbase</t>
  </si>
  <si>
    <t>Kraken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</si>
</sst>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64" fontId="0" fillId="0" borderId="0" xfId="0" applyNumberFormat="1"/>
    <xf numFmtId="0" fontId="2" fillId="0" borderId="0" xfId="1"/>
    <xf numFmtId="4" fontId="0" fillId="0" borderId="0" xfId="0" applyNumberFormat="1"/>
    <xf numFmtId="4" fontId="1" fillId="0" borderId="0" xfId="0" applyNumberFormat="1" applyFont="1"/>
    <xf numFmtId="0" fontId="0" fillId="2" borderId="0" xfId="0" applyFill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2" fontId="1" fillId="0" borderId="0" xfId="0" applyNumberFormat="1" applyFont="1"/>
    <xf numFmtId="2" fontId="1" fillId="0" borderId="0" xfId="0" applyNumberFormat="1" applyFont="1" applyAlignment="1">
      <alignment horizontal="right"/>
    </xf>
    <xf numFmtId="3" fontId="0" fillId="2" borderId="0" xfId="0" applyNumberForma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9" fontId="1" fillId="2" borderId="0" xfId="0" applyNumberFormat="1" applyFont="1" applyFill="1" applyAlignment="1">
      <alignment horizontal="right"/>
    </xf>
    <xf numFmtId="10" fontId="1" fillId="0" borderId="0" xfId="0" applyNumberFormat="1" applyFont="1"/>
    <xf numFmtId="0" fontId="0" fillId="3" borderId="0" xfId="0" applyFill="1" applyAlignment="1">
      <alignment horizontal="right"/>
    </xf>
    <xf numFmtId="9" fontId="0" fillId="0" borderId="0" xfId="0" applyNumberFormat="1"/>
    <xf numFmtId="0" fontId="0" fillId="0" borderId="1" xfId="0" applyBorder="1"/>
    <xf numFmtId="164" fontId="0" fillId="0" borderId="2" xfId="0" applyNumberFormat="1" applyBorder="1"/>
    <xf numFmtId="0" fontId="0" fillId="0" borderId="3" xfId="0" applyBorder="1"/>
    <xf numFmtId="164" fontId="0" fillId="0" borderId="4" xfId="0" applyNumberFormat="1" applyBorder="1"/>
    <xf numFmtId="9" fontId="0" fillId="0" borderId="4" xfId="0" applyNumberFormat="1" applyBorder="1"/>
    <xf numFmtId="3" fontId="0" fillId="0" borderId="4" xfId="0" applyNumberFormat="1" applyBorder="1"/>
    <xf numFmtId="0" fontId="0" fillId="2" borderId="0" xfId="0" applyFill="1"/>
    <xf numFmtId="0" fontId="1" fillId="2" borderId="0" xfId="0" applyFont="1" applyFill="1"/>
    <xf numFmtId="2" fontId="1" fillId="2" borderId="0" xfId="0" applyNumberFormat="1" applyFont="1" applyFill="1"/>
    <xf numFmtId="3" fontId="0" fillId="0" borderId="5" xfId="0" applyNumberFormat="1" applyBorder="1"/>
    <xf numFmtId="10" fontId="0" fillId="0" borderId="6" xfId="0" applyNumberFormat="1" applyBorder="1"/>
    <xf numFmtId="10" fontId="0" fillId="0" borderId="0" xfId="0" applyNumberFormat="1"/>
    <xf numFmtId="3" fontId="0" fillId="0" borderId="3" xfId="0" applyNumberFormat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BAB74A1-E664-493A-BE86-2AC079AD33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0</xdr:row>
      <xdr:rowOff>152400</xdr:rowOff>
    </xdr:from>
    <xdr:to>
      <xdr:col>24</xdr:col>
      <xdr:colOff>19050</xdr:colOff>
      <xdr:row>35</xdr:row>
      <xdr:rowOff>104775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B35DDE7-8CF2-0CAD-A920-A10E838280FE}"/>
            </a:ext>
          </a:extLst>
        </xdr:cNvPr>
        <xdr:cNvCxnSpPr>
          <a:cxnSpLocks/>
        </xdr:cNvCxnSpPr>
      </xdr:nvCxnSpPr>
      <xdr:spPr>
        <a:xfrm>
          <a:off x="16344900" y="152400"/>
          <a:ext cx="9525" cy="5305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C131-65E5-4554-BA3F-A5B9C678BFFF}">
  <dimension ref="C1:M7"/>
  <sheetViews>
    <sheetView topLeftCell="F1" zoomScale="235" zoomScaleNormal="235" workbookViewId="0">
      <selection activeCell="L2" sqref="L2"/>
    </sheetView>
  </sheetViews>
  <sheetFormatPr defaultRowHeight="12.75"/>
  <sheetData>
    <row r="1" spans="3:13">
      <c r="C1" t="s">
        <v>0</v>
      </c>
    </row>
    <row r="2" spans="3:13">
      <c r="D2" s="3"/>
      <c r="F2" s="10"/>
      <c r="K2" t="s">
        <v>1</v>
      </c>
      <c r="L2" s="10">
        <v>147</v>
      </c>
    </row>
    <row r="3" spans="3:13">
      <c r="D3" s="3"/>
      <c r="F3" s="10"/>
      <c r="K3" t="s">
        <v>2</v>
      </c>
      <c r="L3" s="1">
        <f>774+115</f>
        <v>889</v>
      </c>
      <c r="M3" s="2" t="s">
        <v>3</v>
      </c>
    </row>
    <row r="4" spans="3:13">
      <c r="D4" s="11"/>
      <c r="F4" s="10"/>
      <c r="G4" t="s">
        <v>4</v>
      </c>
      <c r="K4" t="s">
        <v>5</v>
      </c>
      <c r="L4" s="1">
        <f>+L2*L3</f>
        <v>130683</v>
      </c>
    </row>
    <row r="5" spans="3:13">
      <c r="K5" t="s">
        <v>6</v>
      </c>
      <c r="L5" s="5">
        <f>4162+8939</f>
        <v>13101</v>
      </c>
      <c r="M5" s="2" t="s">
        <v>3</v>
      </c>
    </row>
    <row r="6" spans="3:13">
      <c r="F6" s="10"/>
      <c r="K6" t="s">
        <v>7</v>
      </c>
      <c r="L6" s="1">
        <v>0</v>
      </c>
      <c r="M6" s="2" t="s">
        <v>3</v>
      </c>
    </row>
    <row r="7" spans="3:13">
      <c r="K7" t="s">
        <v>8</v>
      </c>
      <c r="L7" s="1">
        <f>+L4-L5+L6</f>
        <v>117582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E4B3-2E71-46B2-9456-ABE3E00C7E5B}">
  <dimension ref="A1:GV77"/>
  <sheetViews>
    <sheetView zoomScale="205" zoomScaleNormal="205" workbookViewId="0">
      <pane xSplit="2" ySplit="2" topLeftCell="L3" activePane="bottomRight" state="frozen"/>
      <selection pane="bottomRight" activeCell="P6" sqref="P6"/>
      <selection pane="bottomLeft" activeCell="A3" sqref="A3"/>
      <selection pane="topRight" activeCell="C1" sqref="C1"/>
    </sheetView>
  </sheetViews>
  <sheetFormatPr defaultRowHeight="12.75"/>
  <cols>
    <col min="1" max="1" width="5" bestFit="1" customWidth="1"/>
    <col min="2" max="2" width="20.7109375" bestFit="1" customWidth="1"/>
    <col min="3" max="11" width="9.140625" style="2"/>
    <col min="12" max="12" width="7.85546875" style="2" bestFit="1" customWidth="1"/>
    <col min="13" max="14" width="9.140625" style="2"/>
    <col min="16" max="16" width="7.85546875" bestFit="1" customWidth="1"/>
    <col min="18" max="18" width="11.5703125" bestFit="1" customWidth="1"/>
    <col min="26" max="27" width="6.85546875" bestFit="1" customWidth="1"/>
    <col min="33" max="33" width="11.5703125" bestFit="1" customWidth="1"/>
  </cols>
  <sheetData>
    <row r="1" spans="1:30">
      <c r="A1" t="s">
        <v>9</v>
      </c>
    </row>
    <row r="2" spans="1:30"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12" t="s">
        <v>19</v>
      </c>
      <c r="M2" s="2" t="s">
        <v>20</v>
      </c>
      <c r="N2" s="2" t="s">
        <v>21</v>
      </c>
      <c r="O2" s="2" t="s">
        <v>22</v>
      </c>
      <c r="P2" s="2" t="s">
        <v>3</v>
      </c>
      <c r="Q2" s="25" t="s">
        <v>23</v>
      </c>
      <c r="R2" s="2" t="s">
        <v>24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</row>
    <row r="3" spans="1:30">
      <c r="L3" s="12"/>
      <c r="P3" s="2"/>
    </row>
    <row r="4" spans="1:30">
      <c r="B4" t="s">
        <v>25</v>
      </c>
      <c r="C4" s="5">
        <v>0</v>
      </c>
      <c r="D4" s="5">
        <v>0</v>
      </c>
      <c r="E4" s="5">
        <v>0</v>
      </c>
      <c r="F4" s="2">
        <v>0</v>
      </c>
      <c r="G4" s="5">
        <v>0</v>
      </c>
      <c r="H4" s="5">
        <v>443</v>
      </c>
      <c r="I4" s="5">
        <v>443</v>
      </c>
      <c r="J4" s="2">
        <v>477</v>
      </c>
      <c r="K4" s="5">
        <v>347</v>
      </c>
      <c r="L4" s="12">
        <v>389.7</v>
      </c>
      <c r="M4" s="5">
        <v>443.4</v>
      </c>
      <c r="N4" s="5">
        <v>477</v>
      </c>
      <c r="O4" s="5">
        <v>500</v>
      </c>
      <c r="P4" s="5">
        <v>515</v>
      </c>
    </row>
    <row r="5" spans="1:30">
      <c r="B5" t="s">
        <v>26</v>
      </c>
      <c r="C5" s="5">
        <f>+C6/C9*1000</f>
        <v>4083.333333333333</v>
      </c>
      <c r="D5" s="5">
        <f>+D6/D9*1000</f>
        <v>2803.4934497816594</v>
      </c>
      <c r="E5" s="5">
        <f>+E6/E9*1000</f>
        <v>2820.9606986899566</v>
      </c>
      <c r="F5" s="5">
        <f>+F6/F9*1000</f>
        <v>2695.6521739130435</v>
      </c>
      <c r="G5" s="5">
        <f>+G6/G9*1000</f>
        <v>2943.3962264150941</v>
      </c>
      <c r="H5" s="5">
        <f>+H6/H9*1000</f>
        <v>3836.2068965517242</v>
      </c>
      <c r="I5" s="5">
        <f>+I6/I9*1000</f>
        <v>3733.9055793991415</v>
      </c>
      <c r="J5" s="5">
        <f>+J6/J9*1000</f>
        <v>4384.6153846153848</v>
      </c>
      <c r="K5" s="5">
        <f>+K6/K9*1000</f>
        <v>5439.3305439330543</v>
      </c>
      <c r="L5" s="18">
        <f>+L6/L9*1000</f>
        <v>5772.7272727272721</v>
      </c>
      <c r="M5" s="5">
        <f>+M6/M9*1000</f>
        <v>6263.3744855967079</v>
      </c>
      <c r="N5" s="5">
        <f>+N6/N9*1000</f>
        <v>7366.4122137404574</v>
      </c>
      <c r="O5" s="5">
        <f>+O6/O9*1000</f>
        <v>6976.7441860465115</v>
      </c>
      <c r="P5" s="5">
        <f>+P6/P9*1000</f>
        <v>10528.301886792453</v>
      </c>
    </row>
    <row r="6" spans="1:30" s="3" customFormat="1">
      <c r="B6" s="3" t="s">
        <v>27</v>
      </c>
      <c r="C6" s="14">
        <v>93100</v>
      </c>
      <c r="D6" s="14">
        <v>64200</v>
      </c>
      <c r="E6" s="14">
        <v>64600</v>
      </c>
      <c r="F6" s="14">
        <v>62000</v>
      </c>
      <c r="G6" s="14">
        <v>78000</v>
      </c>
      <c r="H6" s="14">
        <v>89000</v>
      </c>
      <c r="I6" s="14">
        <v>87000</v>
      </c>
      <c r="J6" s="14">
        <v>102600</v>
      </c>
      <c r="K6" s="14">
        <v>130000</v>
      </c>
      <c r="L6" s="19">
        <v>139700</v>
      </c>
      <c r="M6" s="14">
        <v>152200</v>
      </c>
      <c r="N6" s="14">
        <v>193000</v>
      </c>
      <c r="O6" s="14">
        <v>180000</v>
      </c>
      <c r="P6" s="14">
        <v>279000</v>
      </c>
    </row>
    <row r="7" spans="1:30" s="1" customFormat="1">
      <c r="B7" s="1" t="s">
        <v>28</v>
      </c>
      <c r="C7" s="5">
        <v>5700</v>
      </c>
      <c r="D7" s="5">
        <v>5200</v>
      </c>
      <c r="E7" s="5">
        <v>2700</v>
      </c>
      <c r="F7" s="5">
        <v>4800</v>
      </c>
      <c r="G7" s="5">
        <v>4400</v>
      </c>
      <c r="H7" s="5">
        <v>4100</v>
      </c>
      <c r="I7" s="5">
        <v>4000</v>
      </c>
      <c r="J7" s="5">
        <v>4600</v>
      </c>
      <c r="K7" s="5">
        <v>11200</v>
      </c>
      <c r="L7" s="18">
        <v>13200</v>
      </c>
      <c r="M7" s="5">
        <v>10000</v>
      </c>
      <c r="N7" s="5">
        <v>16000</v>
      </c>
      <c r="O7" s="5">
        <v>18000</v>
      </c>
      <c r="P7" s="5">
        <v>13800</v>
      </c>
    </row>
    <row r="8" spans="1:30" s="13" customFormat="1">
      <c r="B8" s="13" t="s">
        <v>29</v>
      </c>
      <c r="C8" s="14">
        <v>0</v>
      </c>
      <c r="D8" s="14">
        <v>0</v>
      </c>
      <c r="E8" s="14">
        <v>1050</v>
      </c>
      <c r="F8" s="14">
        <v>3500</v>
      </c>
      <c r="G8" s="14">
        <v>3500</v>
      </c>
      <c r="H8" s="14">
        <v>1200</v>
      </c>
      <c r="I8" s="14">
        <v>1300</v>
      </c>
      <c r="J8" s="14">
        <v>1420</v>
      </c>
      <c r="K8" s="14">
        <v>1700</v>
      </c>
      <c r="L8" s="19">
        <v>2000</v>
      </c>
      <c r="M8" s="14">
        <v>2200</v>
      </c>
      <c r="N8" s="14">
        <v>2600</v>
      </c>
      <c r="O8" s="14">
        <v>3200</v>
      </c>
      <c r="P8" s="14">
        <v>3500</v>
      </c>
    </row>
    <row r="9" spans="1:30">
      <c r="B9" t="s">
        <v>30</v>
      </c>
      <c r="C9" s="5">
        <v>22800</v>
      </c>
      <c r="D9" s="5">
        <v>22900</v>
      </c>
      <c r="E9" s="5">
        <v>22900</v>
      </c>
      <c r="F9" s="5">
        <v>23000</v>
      </c>
      <c r="G9" s="5">
        <v>26500</v>
      </c>
      <c r="H9" s="5">
        <v>23200</v>
      </c>
      <c r="I9" s="5">
        <v>23300</v>
      </c>
      <c r="J9" s="5">
        <v>23400</v>
      </c>
      <c r="K9" s="5">
        <v>23900</v>
      </c>
      <c r="L9" s="18">
        <v>24200</v>
      </c>
      <c r="M9" s="5">
        <v>24300</v>
      </c>
      <c r="N9" s="5">
        <v>26200</v>
      </c>
      <c r="O9" s="5">
        <v>25800</v>
      </c>
      <c r="P9" s="5">
        <v>26500</v>
      </c>
    </row>
    <row r="10" spans="1:30" s="3" customFormat="1">
      <c r="B10" s="3" t="s">
        <v>31</v>
      </c>
      <c r="C10" s="15">
        <f>+C19*1000/C9</f>
        <v>13.114035087719298</v>
      </c>
      <c r="D10" s="15">
        <f>+D19*1000/D9</f>
        <v>13.886462882096071</v>
      </c>
      <c r="E10" s="15">
        <f>+F19*1000/E9</f>
        <v>16.50655021834061</v>
      </c>
      <c r="F10" s="15">
        <f>+F19*1000/F9</f>
        <v>16.434782608695652</v>
      </c>
      <c r="G10" s="15">
        <f>+G19*1000/G9</f>
        <v>16.641509433962263</v>
      </c>
      <c r="H10" s="15">
        <f>+H19*1000/H9</f>
        <v>20.948275862068964</v>
      </c>
      <c r="I10" s="15">
        <f>+I19*1000/I9</f>
        <v>20.042918454935624</v>
      </c>
      <c r="J10" s="15">
        <f>+J19*1000/J9</f>
        <v>20.128205128205128</v>
      </c>
      <c r="K10" s="15">
        <f>+K19*1000/K9</f>
        <v>25.85774058577406</v>
      </c>
      <c r="L10" s="20">
        <f>+L19*1000/L9</f>
        <v>28.181818181818183</v>
      </c>
      <c r="M10" s="15">
        <f>+M19*1000/M9</f>
        <v>26.213991769547324</v>
      </c>
      <c r="N10" s="15">
        <f>+N19*1000/N9</f>
        <v>40.610687022900763</v>
      </c>
      <c r="O10" s="15">
        <f>+O19*1000/O9</f>
        <v>35.930232558139537</v>
      </c>
      <c r="P10" s="15">
        <f>+P19*1000/P9</f>
        <v>37.320754716981135</v>
      </c>
    </row>
    <row r="11" spans="1:30">
      <c r="F11" s="7"/>
      <c r="L11" s="12"/>
      <c r="N11"/>
      <c r="P11" s="2"/>
    </row>
    <row r="12" spans="1:30" s="3" customFormat="1">
      <c r="B12" s="3" t="s">
        <v>32</v>
      </c>
      <c r="C12" s="4">
        <v>36</v>
      </c>
      <c r="D12" s="4">
        <v>29</v>
      </c>
      <c r="E12" s="4">
        <v>31</v>
      </c>
      <c r="F12" s="4">
        <v>21</v>
      </c>
      <c r="G12" s="4">
        <v>27</v>
      </c>
      <c r="H12" s="4">
        <v>25</v>
      </c>
      <c r="I12" s="4">
        <v>27</v>
      </c>
      <c r="J12" s="4">
        <f>104-G12-H12-I12</f>
        <v>25</v>
      </c>
      <c r="K12" s="4">
        <v>39</v>
      </c>
      <c r="L12" s="21">
        <v>40</v>
      </c>
      <c r="M12" s="4">
        <v>37</v>
      </c>
      <c r="N12" s="3">
        <v>41</v>
      </c>
      <c r="O12" s="3">
        <v>56</v>
      </c>
      <c r="P12" s="4">
        <v>66</v>
      </c>
      <c r="V12" s="13">
        <f>SUM(C12:F12)</f>
        <v>117</v>
      </c>
      <c r="W12" s="13">
        <f>SUM(J12:M12)</f>
        <v>141</v>
      </c>
      <c r="X12" s="13">
        <f>SUM(K12:N12)</f>
        <v>157</v>
      </c>
      <c r="Y12" s="13"/>
    </row>
    <row r="13" spans="1:30" s="3" customFormat="1">
      <c r="B13" s="3" t="s">
        <v>33</v>
      </c>
      <c r="C13" s="4">
        <v>54</v>
      </c>
      <c r="D13" s="4">
        <v>58</v>
      </c>
      <c r="E13" s="4">
        <v>51</v>
      </c>
      <c r="F13" s="4">
        <v>39</v>
      </c>
      <c r="G13" s="4">
        <v>38</v>
      </c>
      <c r="H13" s="4">
        <v>31</v>
      </c>
      <c r="I13" s="4">
        <v>23</v>
      </c>
      <c r="J13" s="4">
        <f>135-G13-H13-I13</f>
        <v>43</v>
      </c>
      <c r="K13" s="4">
        <v>126</v>
      </c>
      <c r="L13" s="21">
        <v>81</v>
      </c>
      <c r="M13" s="4">
        <v>61</v>
      </c>
      <c r="N13" s="3">
        <v>135</v>
      </c>
      <c r="O13" s="3">
        <v>252</v>
      </c>
      <c r="P13" s="4">
        <v>160</v>
      </c>
      <c r="V13" s="13">
        <f>SUM(C13:F13)</f>
        <v>202</v>
      </c>
      <c r="W13" s="13">
        <f>SUM(J13:M13)</f>
        <v>311</v>
      </c>
      <c r="X13" s="13">
        <f>SUM(K13:N13)</f>
        <v>403</v>
      </c>
      <c r="Y13" s="13"/>
    </row>
    <row r="14" spans="1:30">
      <c r="B14" t="s">
        <v>34</v>
      </c>
      <c r="C14" s="2">
        <v>127</v>
      </c>
      <c r="D14" s="2">
        <v>113</v>
      </c>
      <c r="E14" s="2">
        <v>124</v>
      </c>
      <c r="F14" s="2">
        <v>124</v>
      </c>
      <c r="G14" s="2">
        <v>133</v>
      </c>
      <c r="H14" s="2">
        <v>127</v>
      </c>
      <c r="I14" s="2">
        <v>124</v>
      </c>
      <c r="J14" s="2">
        <f>505-G14-H14-I14</f>
        <v>121</v>
      </c>
      <c r="K14" s="2">
        <v>154</v>
      </c>
      <c r="L14" s="12">
        <v>182</v>
      </c>
      <c r="M14" s="2">
        <v>202</v>
      </c>
      <c r="N14">
        <v>505</v>
      </c>
      <c r="O14">
        <v>240</v>
      </c>
      <c r="P14" s="2">
        <v>265</v>
      </c>
      <c r="V14" s="1">
        <f>SUM(C14:F14)</f>
        <v>488</v>
      </c>
      <c r="W14" s="1">
        <f>SUM(J14:M14)</f>
        <v>659</v>
      </c>
      <c r="X14" s="1">
        <f>SUM(K14:N14)</f>
        <v>1043</v>
      </c>
      <c r="Y14" s="1"/>
    </row>
    <row r="15" spans="1:30">
      <c r="B15" t="s">
        <v>35</v>
      </c>
      <c r="C15" s="2">
        <v>1</v>
      </c>
      <c r="D15" s="2">
        <v>2</v>
      </c>
      <c r="E15" s="2">
        <v>2</v>
      </c>
      <c r="G15" s="2">
        <v>9</v>
      </c>
      <c r="H15" s="2">
        <v>10</v>
      </c>
      <c r="I15" s="2">
        <v>11</v>
      </c>
      <c r="J15" s="2">
        <f>41-G15-H15-I15</f>
        <v>11</v>
      </c>
      <c r="K15" s="2">
        <v>10</v>
      </c>
      <c r="L15" s="12">
        <v>24</v>
      </c>
      <c r="M15" s="2">
        <v>19</v>
      </c>
      <c r="N15">
        <v>41</v>
      </c>
      <c r="O15">
        <v>35</v>
      </c>
      <c r="P15" s="2">
        <v>48</v>
      </c>
      <c r="V15" s="1"/>
      <c r="W15" s="1"/>
      <c r="X15" s="1"/>
      <c r="Y15" s="1"/>
    </row>
    <row r="16" spans="1:30">
      <c r="B16" s="33" t="s">
        <v>36</v>
      </c>
      <c r="C16" s="2">
        <f>SUM(C12:C15)</f>
        <v>218</v>
      </c>
      <c r="D16" s="2">
        <f t="shared" ref="D16:O16" si="0">SUM(D12:D15)</f>
        <v>202</v>
      </c>
      <c r="E16" s="2">
        <f t="shared" si="0"/>
        <v>208</v>
      </c>
      <c r="F16" s="2">
        <f t="shared" si="0"/>
        <v>184</v>
      </c>
      <c r="G16" s="2">
        <f t="shared" si="0"/>
        <v>207</v>
      </c>
      <c r="H16" s="2">
        <f t="shared" si="0"/>
        <v>193</v>
      </c>
      <c r="I16" s="2">
        <f t="shared" si="0"/>
        <v>185</v>
      </c>
      <c r="J16" s="2">
        <f t="shared" si="0"/>
        <v>200</v>
      </c>
      <c r="K16" s="2">
        <f t="shared" si="0"/>
        <v>329</v>
      </c>
      <c r="L16" s="2">
        <f t="shared" si="0"/>
        <v>327</v>
      </c>
      <c r="M16" s="2">
        <f t="shared" si="0"/>
        <v>319</v>
      </c>
      <c r="N16" s="2">
        <f t="shared" si="0"/>
        <v>722</v>
      </c>
      <c r="O16" s="2">
        <f t="shared" si="0"/>
        <v>583</v>
      </c>
      <c r="P16" s="2">
        <f>SUM(P12:P15)</f>
        <v>539</v>
      </c>
      <c r="R16" s="24"/>
      <c r="V16" s="1">
        <f>SUM(C16:F16)</f>
        <v>812</v>
      </c>
      <c r="W16" s="1">
        <f>SUM(J16:M16)</f>
        <v>1175</v>
      </c>
      <c r="X16" s="1">
        <f>SUM(K16:N16)</f>
        <v>1697</v>
      </c>
      <c r="Y16" s="1"/>
    </row>
    <row r="17" spans="2:204">
      <c r="B17" t="s">
        <v>37</v>
      </c>
      <c r="C17" s="2">
        <v>55</v>
      </c>
      <c r="D17" s="2">
        <v>74</v>
      </c>
      <c r="E17" s="2">
        <v>128</v>
      </c>
      <c r="F17" s="2">
        <v>167</v>
      </c>
      <c r="G17" s="2">
        <v>208</v>
      </c>
      <c r="H17" s="2">
        <v>234</v>
      </c>
      <c r="I17" s="2">
        <v>251</v>
      </c>
      <c r="J17" s="2">
        <f>929-G17-H17-I17</f>
        <v>236</v>
      </c>
      <c r="K17" s="2">
        <v>254</v>
      </c>
      <c r="L17" s="12">
        <v>285</v>
      </c>
      <c r="M17" s="2">
        <v>274</v>
      </c>
      <c r="N17">
        <f>1109-K17-L17-M17</f>
        <v>296</v>
      </c>
      <c r="O17">
        <v>290</v>
      </c>
      <c r="P17" s="2">
        <v>357</v>
      </c>
      <c r="V17" s="1">
        <f>SUM(C17:F17)</f>
        <v>424</v>
      </c>
      <c r="W17" s="1">
        <f>SUM(J17:M17)</f>
        <v>1049</v>
      </c>
      <c r="X17" s="1">
        <f>SUM(K17:N17)</f>
        <v>1109</v>
      </c>
      <c r="Y17" s="1"/>
    </row>
    <row r="18" spans="2:204">
      <c r="B18" t="s">
        <v>35</v>
      </c>
      <c r="C18" s="2">
        <v>26</v>
      </c>
      <c r="D18" s="2">
        <v>42</v>
      </c>
      <c r="E18" s="2">
        <v>25</v>
      </c>
      <c r="F18" s="2">
        <v>27</v>
      </c>
      <c r="G18" s="2">
        <v>26</v>
      </c>
      <c r="H18" s="2">
        <v>59</v>
      </c>
      <c r="I18" s="2">
        <v>31</v>
      </c>
      <c r="J18" s="2">
        <f>151-G18-H18-I18</f>
        <v>35</v>
      </c>
      <c r="K18" s="2">
        <v>35</v>
      </c>
      <c r="L18" s="12">
        <v>70</v>
      </c>
      <c r="M18" s="2">
        <v>44</v>
      </c>
      <c r="N18">
        <f>195-K18-L18-M18</f>
        <v>46</v>
      </c>
      <c r="O18">
        <v>54</v>
      </c>
      <c r="P18" s="2">
        <v>93</v>
      </c>
      <c r="V18" s="1">
        <f>SUM(C18:F18)</f>
        <v>120</v>
      </c>
      <c r="W18" s="1">
        <f>SUM(J18:M18)</f>
        <v>184</v>
      </c>
      <c r="X18" s="1">
        <f>SUM(K18:N18)</f>
        <v>195</v>
      </c>
      <c r="Y18" s="1"/>
    </row>
    <row r="19" spans="2:204" s="3" customFormat="1">
      <c r="B19" s="34" t="s">
        <v>38</v>
      </c>
      <c r="C19" s="4">
        <f>SUM(C16:C18)</f>
        <v>299</v>
      </c>
      <c r="D19" s="4">
        <f>SUM(D16:D18)</f>
        <v>318</v>
      </c>
      <c r="E19" s="4">
        <f>SUM(E16:E18)</f>
        <v>361</v>
      </c>
      <c r="F19" s="4">
        <f>SUM(F16:F18)</f>
        <v>378</v>
      </c>
      <c r="G19" s="4">
        <f>SUM(G16:G18)</f>
        <v>441</v>
      </c>
      <c r="H19" s="4">
        <f>SUM(H16:H18)</f>
        <v>486</v>
      </c>
      <c r="I19" s="4">
        <f>SUM(I16:I18)</f>
        <v>467</v>
      </c>
      <c r="J19" s="4">
        <f>SUM(J16:J18)</f>
        <v>471</v>
      </c>
      <c r="K19" s="4">
        <f>SUM(K16:K18)</f>
        <v>618</v>
      </c>
      <c r="L19" s="21">
        <f>SUM(L16:L18)</f>
        <v>682</v>
      </c>
      <c r="M19" s="4">
        <f>SUM(M16:M18)</f>
        <v>637</v>
      </c>
      <c r="N19" s="4">
        <f>SUM(N16:N18)</f>
        <v>1064</v>
      </c>
      <c r="O19" s="4">
        <f>SUM(O16:O18)</f>
        <v>927</v>
      </c>
      <c r="P19" s="4">
        <f>SUM(P16:P18)</f>
        <v>989</v>
      </c>
      <c r="R19" s="13"/>
      <c r="V19" s="14">
        <f>SUM(V16:V18)</f>
        <v>1356</v>
      </c>
      <c r="W19" s="14">
        <f>SUM(W16:W18)</f>
        <v>2408</v>
      </c>
      <c r="X19" s="14">
        <f>SUM(X16:X18)</f>
        <v>3001</v>
      </c>
      <c r="Y19" s="13">
        <f>+O19+P19+999+1013</f>
        <v>3928</v>
      </c>
      <c r="Z19" s="13">
        <f>+Y19*1.17</f>
        <v>4595.7599999999993</v>
      </c>
      <c r="AA19" s="13">
        <f>+Z19*1.29</f>
        <v>5928.5303999999996</v>
      </c>
      <c r="AB19" s="13">
        <f>+AA19*1.15</f>
        <v>6817.8099599999987</v>
      </c>
      <c r="AC19" s="13">
        <f>+AB19*1.24</f>
        <v>8454.0843503999986</v>
      </c>
      <c r="AD19" s="13">
        <f>+AC19*1.05</f>
        <v>8876.788567919999</v>
      </c>
    </row>
    <row r="20" spans="2:204">
      <c r="B20" t="s">
        <v>39</v>
      </c>
      <c r="C20" s="2">
        <v>31</v>
      </c>
      <c r="D20" s="2">
        <v>30</v>
      </c>
      <c r="E20" s="2">
        <v>33</v>
      </c>
      <c r="F20" s="2">
        <v>85</v>
      </c>
      <c r="G20" s="2">
        <v>36</v>
      </c>
      <c r="H20" s="2">
        <v>39</v>
      </c>
      <c r="I20" s="2">
        <v>39</v>
      </c>
      <c r="J20" s="2">
        <f>146-G20-H20-I20</f>
        <v>32</v>
      </c>
      <c r="K20" s="2">
        <v>35</v>
      </c>
      <c r="L20" s="12">
        <v>40</v>
      </c>
      <c r="M20" s="2">
        <v>39</v>
      </c>
      <c r="N20" s="2">
        <f>164-K20-L20-M20</f>
        <v>50</v>
      </c>
      <c r="O20" s="2">
        <v>50</v>
      </c>
      <c r="P20" s="2">
        <v>48</v>
      </c>
      <c r="V20" s="1">
        <f>SUM(C20:F20)</f>
        <v>179</v>
      </c>
      <c r="W20" s="1">
        <f>SUM(J20:M20)</f>
        <v>146</v>
      </c>
      <c r="X20" s="1">
        <f>SUM(K20:N20)</f>
        <v>164</v>
      </c>
      <c r="Y20" s="1"/>
      <c r="Z20" s="1"/>
      <c r="AA20" s="1"/>
      <c r="AB20" s="1"/>
      <c r="AC20" s="1"/>
      <c r="AD20" s="1"/>
    </row>
    <row r="21" spans="2:204" s="3" customFormat="1">
      <c r="B21" s="34" t="s">
        <v>40</v>
      </c>
      <c r="C21" s="4">
        <f>+C19-C20</f>
        <v>268</v>
      </c>
      <c r="D21" s="4">
        <f>+D19-D20</f>
        <v>288</v>
      </c>
      <c r="E21" s="4">
        <f>+E19-E20</f>
        <v>328</v>
      </c>
      <c r="F21" s="4">
        <f>+F19-F20</f>
        <v>293</v>
      </c>
      <c r="G21" s="4">
        <f>+G19-G20</f>
        <v>405</v>
      </c>
      <c r="H21" s="4">
        <f>+H19-H20</f>
        <v>447</v>
      </c>
      <c r="I21" s="4">
        <f>+I19-I20</f>
        <v>428</v>
      </c>
      <c r="J21" s="4">
        <f>+J19-J20</f>
        <v>439</v>
      </c>
      <c r="K21" s="4">
        <f>+K19-K20</f>
        <v>583</v>
      </c>
      <c r="L21" s="21">
        <f>+L19-L20</f>
        <v>642</v>
      </c>
      <c r="M21" s="4">
        <f>+M19-M20</f>
        <v>598</v>
      </c>
      <c r="N21" s="4">
        <f>+N19-N20</f>
        <v>1014</v>
      </c>
      <c r="O21" s="4">
        <f>+O19-O20</f>
        <v>877</v>
      </c>
      <c r="P21" s="4">
        <f>+P19-P20</f>
        <v>941</v>
      </c>
      <c r="R21" s="24"/>
      <c r="V21" s="14">
        <f>+V19-V20</f>
        <v>1177</v>
      </c>
      <c r="W21" s="14">
        <f>+W19-W20</f>
        <v>2262</v>
      </c>
      <c r="X21" s="14">
        <f>+X19-X20</f>
        <v>2837</v>
      </c>
      <c r="Y21" s="13">
        <f>+X21*1.28</f>
        <v>3631.36</v>
      </c>
      <c r="Z21" s="13">
        <f>+Z19*0.87</f>
        <v>3998.3111999999992</v>
      </c>
      <c r="AA21" s="13">
        <f>+AA19*0.91</f>
        <v>5394.9626639999997</v>
      </c>
      <c r="AB21" s="13">
        <f>+AB19*0.95</f>
        <v>6476.919461999998</v>
      </c>
      <c r="AC21" s="13">
        <f>+AC19*0.94</f>
        <v>7946.8392893759983</v>
      </c>
      <c r="AD21" s="13">
        <f>+AD19*0.91</f>
        <v>8077.8775968071996</v>
      </c>
    </row>
    <row r="22" spans="2:204">
      <c r="B22" t="s">
        <v>41</v>
      </c>
      <c r="C22" s="2">
        <v>266</v>
      </c>
      <c r="D22" s="2">
        <v>244</v>
      </c>
      <c r="E22" s="2">
        <v>185</v>
      </c>
      <c r="F22" s="2">
        <v>180</v>
      </c>
      <c r="G22" s="2">
        <v>199</v>
      </c>
      <c r="H22" s="2">
        <v>207</v>
      </c>
      <c r="I22" s="2">
        <v>202</v>
      </c>
      <c r="J22" s="2">
        <f>805-G22-H22-I22</f>
        <v>197</v>
      </c>
      <c r="K22" s="2">
        <v>196</v>
      </c>
      <c r="L22" s="12">
        <v>209</v>
      </c>
      <c r="M22" s="2">
        <v>205</v>
      </c>
      <c r="N22" s="2">
        <f>818-K22-L22-M22</f>
        <v>208</v>
      </c>
      <c r="O22" s="2">
        <v>214</v>
      </c>
      <c r="P22" s="2">
        <v>214</v>
      </c>
      <c r="V22" s="1">
        <f>SUM(C22:F22)</f>
        <v>875</v>
      </c>
      <c r="W22" s="1">
        <f>SUM(J22:M22)</f>
        <v>807</v>
      </c>
      <c r="X22" s="1">
        <f>SUM(K22:N22)</f>
        <v>818</v>
      </c>
      <c r="Y22" s="1">
        <f>+X22*1.01</f>
        <v>826.18000000000006</v>
      </c>
      <c r="Z22" s="1">
        <f t="shared" ref="Z22:AD22" si="1">+Y22*1.01</f>
        <v>834.44180000000006</v>
      </c>
      <c r="AA22" s="1">
        <f t="shared" si="1"/>
        <v>842.78621800000008</v>
      </c>
      <c r="AB22" s="1">
        <f t="shared" si="1"/>
        <v>851.21408018000011</v>
      </c>
      <c r="AC22" s="1">
        <f t="shared" si="1"/>
        <v>859.72622098180011</v>
      </c>
      <c r="AD22" s="1">
        <f t="shared" si="1"/>
        <v>868.32348319161815</v>
      </c>
    </row>
    <row r="23" spans="2:204">
      <c r="B23" t="s">
        <v>42</v>
      </c>
      <c r="C23" s="2">
        <v>91</v>
      </c>
      <c r="D23" s="2">
        <v>86</v>
      </c>
      <c r="E23" s="2">
        <v>64</v>
      </c>
      <c r="F23" s="2">
        <v>43</v>
      </c>
      <c r="G23" s="2">
        <v>42</v>
      </c>
      <c r="H23" s="2">
        <v>36</v>
      </c>
      <c r="I23" s="2">
        <v>41</v>
      </c>
      <c r="J23" s="2">
        <f>159-G23-H23-I23</f>
        <v>40</v>
      </c>
      <c r="K23" s="2">
        <v>44</v>
      </c>
      <c r="L23" s="12">
        <v>46</v>
      </c>
      <c r="M23" s="2">
        <v>50</v>
      </c>
      <c r="N23" s="2">
        <f>112-K23-L23-M23</f>
        <v>-28</v>
      </c>
      <c r="O23" s="2">
        <v>31</v>
      </c>
      <c r="P23" s="2">
        <v>29</v>
      </c>
      <c r="V23" s="1">
        <f>SUM(C23:F23)</f>
        <v>284</v>
      </c>
      <c r="W23" s="1">
        <f>SUM(J23:M23)</f>
        <v>180</v>
      </c>
      <c r="X23" s="1">
        <f>SUM(K23:N23)</f>
        <v>112</v>
      </c>
      <c r="Y23" s="1">
        <f t="shared" ref="Y23:AD23" si="2">+X23*1.01</f>
        <v>113.12</v>
      </c>
      <c r="Z23" s="1">
        <f t="shared" si="2"/>
        <v>114.25120000000001</v>
      </c>
      <c r="AA23" s="1">
        <f t="shared" si="2"/>
        <v>115.39371200000001</v>
      </c>
      <c r="AB23" s="1">
        <f t="shared" si="2"/>
        <v>116.54764912</v>
      </c>
      <c r="AC23" s="1">
        <f t="shared" si="2"/>
        <v>117.7131256112</v>
      </c>
      <c r="AD23" s="1">
        <f t="shared" si="2"/>
        <v>118.890256867312</v>
      </c>
    </row>
    <row r="24" spans="2:204">
      <c r="B24" t="s">
        <v>43</v>
      </c>
      <c r="C24" s="2">
        <v>0</v>
      </c>
      <c r="D24" s="2">
        <v>0</v>
      </c>
      <c r="E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12">
        <v>0</v>
      </c>
      <c r="M24" s="2">
        <v>0</v>
      </c>
      <c r="N24" s="2">
        <f>76-M24</f>
        <v>76</v>
      </c>
      <c r="O24" s="2">
        <v>24</v>
      </c>
      <c r="P24" s="2">
        <v>28</v>
      </c>
      <c r="V24" s="1">
        <v>0</v>
      </c>
      <c r="W24" s="1">
        <v>0</v>
      </c>
      <c r="X24" s="1">
        <v>0</v>
      </c>
      <c r="Y24" s="1">
        <f t="shared" ref="Y24:AD24" si="3">+X24*1.01</f>
        <v>0</v>
      </c>
      <c r="Z24" s="1">
        <f t="shared" si="3"/>
        <v>0</v>
      </c>
      <c r="AA24" s="1">
        <f t="shared" si="3"/>
        <v>0</v>
      </c>
      <c r="AB24" s="1">
        <f t="shared" si="3"/>
        <v>0</v>
      </c>
      <c r="AC24" s="1">
        <f t="shared" si="3"/>
        <v>0</v>
      </c>
      <c r="AD24" s="1">
        <f t="shared" si="3"/>
        <v>0</v>
      </c>
    </row>
    <row r="25" spans="2:204">
      <c r="B25" t="s">
        <v>44</v>
      </c>
      <c r="C25" s="2">
        <v>34</v>
      </c>
      <c r="D25" s="2">
        <v>24</v>
      </c>
      <c r="E25" s="2">
        <v>19</v>
      </c>
      <c r="F25" s="2">
        <v>29</v>
      </c>
      <c r="G25" s="2">
        <v>26</v>
      </c>
      <c r="H25" s="2">
        <v>25</v>
      </c>
      <c r="I25" s="2">
        <v>28</v>
      </c>
      <c r="J25" s="2">
        <f>122-G25-H25-I25</f>
        <v>43</v>
      </c>
      <c r="K25" s="2">
        <v>67</v>
      </c>
      <c r="L25" s="12">
        <v>64</v>
      </c>
      <c r="M25" s="2">
        <v>59</v>
      </c>
      <c r="N25" s="2">
        <f>272-K25-L25-M25</f>
        <v>82</v>
      </c>
      <c r="O25" s="2">
        <v>105</v>
      </c>
      <c r="P25" s="2">
        <v>99</v>
      </c>
      <c r="V25" s="1">
        <f>SUM(C25:F25)</f>
        <v>106</v>
      </c>
      <c r="W25" s="1">
        <f>SUM(J25:M25)</f>
        <v>233</v>
      </c>
      <c r="X25" s="1">
        <f>SUM(K25:N25)</f>
        <v>272</v>
      </c>
      <c r="Y25" s="1">
        <f t="shared" ref="Y25:AD25" si="4">+X25*1.01</f>
        <v>274.72000000000003</v>
      </c>
      <c r="Z25" s="1">
        <f t="shared" si="4"/>
        <v>277.46720000000005</v>
      </c>
      <c r="AA25" s="1">
        <f t="shared" si="4"/>
        <v>280.24187200000006</v>
      </c>
      <c r="AB25" s="1">
        <f t="shared" si="4"/>
        <v>283.04429072000005</v>
      </c>
      <c r="AC25" s="1">
        <f t="shared" si="4"/>
        <v>285.87473362720004</v>
      </c>
      <c r="AD25" s="1">
        <f t="shared" si="4"/>
        <v>288.73348096347206</v>
      </c>
    </row>
    <row r="26" spans="2:204">
      <c r="B26" t="s">
        <v>45</v>
      </c>
      <c r="C26" s="2">
        <v>268</v>
      </c>
      <c r="D26" s="2">
        <v>226</v>
      </c>
      <c r="E26" s="2">
        <v>234</v>
      </c>
      <c r="F26" s="2">
        <v>197</v>
      </c>
      <c r="G26" s="2">
        <v>647</v>
      </c>
      <c r="H26" s="2">
        <v>159</v>
      </c>
      <c r="I26" s="2">
        <v>230</v>
      </c>
      <c r="J26" s="2">
        <f>1169-G26-H26-I26</f>
        <v>133</v>
      </c>
      <c r="K26" s="2">
        <v>118</v>
      </c>
      <c r="L26" s="12">
        <v>134</v>
      </c>
      <c r="M26" s="2">
        <v>133</v>
      </c>
      <c r="N26" s="2">
        <f>455-K26-L26-M26</f>
        <v>70</v>
      </c>
      <c r="O26" s="2">
        <v>133</v>
      </c>
      <c r="P26" s="2">
        <v>132</v>
      </c>
      <c r="V26" s="1">
        <f>SUM(C26:F26)</f>
        <v>925</v>
      </c>
      <c r="W26" s="1">
        <f>SUM(J26:M26)</f>
        <v>518</v>
      </c>
      <c r="X26" s="1">
        <f>SUM(K26:N26)</f>
        <v>455</v>
      </c>
      <c r="Y26" s="1">
        <f t="shared" ref="Y26:AD26" si="5">+X26*1.01</f>
        <v>459.55</v>
      </c>
      <c r="Z26" s="1">
        <f t="shared" si="5"/>
        <v>464.14550000000003</v>
      </c>
      <c r="AA26" s="1">
        <f t="shared" si="5"/>
        <v>468.78695500000003</v>
      </c>
      <c r="AB26" s="1">
        <f t="shared" si="5"/>
        <v>473.47482455000005</v>
      </c>
      <c r="AC26" s="1">
        <f t="shared" si="5"/>
        <v>478.20957279550004</v>
      </c>
      <c r="AD26" s="1">
        <f t="shared" si="5"/>
        <v>482.99166852345502</v>
      </c>
    </row>
    <row r="27" spans="2:204" s="3" customFormat="1">
      <c r="B27" s="34" t="s">
        <v>46</v>
      </c>
      <c r="C27" s="4">
        <f>SUM(C22:C26)</f>
        <v>659</v>
      </c>
      <c r="D27" s="4">
        <f>SUM(D22:D26)</f>
        <v>580</v>
      </c>
      <c r="E27" s="4">
        <f>SUM(E22:E26)</f>
        <v>502</v>
      </c>
      <c r="F27" s="4">
        <f>SUM(F22:F26)</f>
        <v>449</v>
      </c>
      <c r="G27" s="4">
        <f>SUM(G22:G26)</f>
        <v>914</v>
      </c>
      <c r="H27" s="4">
        <f>SUM(H22:H26)</f>
        <v>427</v>
      </c>
      <c r="I27" s="4">
        <f>SUM(I22:I26)</f>
        <v>501</v>
      </c>
      <c r="J27" s="4">
        <f>SUM(J22:J26)</f>
        <v>413</v>
      </c>
      <c r="K27" s="4">
        <f>SUM(K22:K26)</f>
        <v>425</v>
      </c>
      <c r="L27" s="21">
        <f>SUM(L22:L26)</f>
        <v>453</v>
      </c>
      <c r="M27" s="4">
        <f>SUM(M22:M26)</f>
        <v>447</v>
      </c>
      <c r="N27" s="4">
        <f>SUM(N22:N26)</f>
        <v>408</v>
      </c>
      <c r="O27" s="4">
        <f>SUM(O22:O26)</f>
        <v>507</v>
      </c>
      <c r="P27" s="4">
        <f>SUM(P22:P26)</f>
        <v>502</v>
      </c>
      <c r="V27" s="14">
        <f>SUM(V22:V26)</f>
        <v>2190</v>
      </c>
      <c r="W27" s="14">
        <f>SUM(W22:W26)</f>
        <v>1738</v>
      </c>
      <c r="X27" s="14">
        <f>SUM(X22:X26)</f>
        <v>1657</v>
      </c>
      <c r="Y27" s="14">
        <f t="shared" ref="Y27:AD27" si="6">SUM(Y22:Y26)</f>
        <v>1673.57</v>
      </c>
      <c r="Z27" s="14">
        <f t="shared" si="6"/>
        <v>1690.3057000000003</v>
      </c>
      <c r="AA27" s="14">
        <f t="shared" si="6"/>
        <v>1707.2087570000003</v>
      </c>
      <c r="AB27" s="14">
        <f t="shared" si="6"/>
        <v>1724.2808445700002</v>
      </c>
      <c r="AC27" s="14">
        <f t="shared" si="6"/>
        <v>1741.5236530157001</v>
      </c>
      <c r="AD27" s="14">
        <f t="shared" si="6"/>
        <v>1758.9388895458571</v>
      </c>
    </row>
    <row r="28" spans="2:204" s="3" customFormat="1">
      <c r="B28" s="34" t="s">
        <v>47</v>
      </c>
      <c r="C28" s="4">
        <f>C21-C27</f>
        <v>-391</v>
      </c>
      <c r="D28" s="4">
        <f>D21-D27</f>
        <v>-292</v>
      </c>
      <c r="E28" s="4">
        <f>E21-E27</f>
        <v>-174</v>
      </c>
      <c r="F28" s="4">
        <f>F21-F27</f>
        <v>-156</v>
      </c>
      <c r="G28" s="4">
        <f>G21-G27</f>
        <v>-509</v>
      </c>
      <c r="H28" s="4">
        <f>H21-H27</f>
        <v>20</v>
      </c>
      <c r="I28" s="4">
        <f>I21-I27</f>
        <v>-73</v>
      </c>
      <c r="J28" s="4">
        <f>J21-J27</f>
        <v>26</v>
      </c>
      <c r="K28" s="4">
        <f>K21-K27</f>
        <v>158</v>
      </c>
      <c r="L28" s="21">
        <f>L21-L27</f>
        <v>189</v>
      </c>
      <c r="M28" s="4">
        <f>M21-M27</f>
        <v>151</v>
      </c>
      <c r="N28" s="4">
        <f>N21-N27</f>
        <v>606</v>
      </c>
      <c r="O28" s="4">
        <f>O21-O27</f>
        <v>370</v>
      </c>
      <c r="P28" s="4">
        <f>P21-P27</f>
        <v>439</v>
      </c>
      <c r="V28" s="14">
        <f>V21-V27</f>
        <v>-1013</v>
      </c>
      <c r="W28" s="14">
        <f>+W21-W27</f>
        <v>524</v>
      </c>
      <c r="X28" s="14">
        <f>+X21-X27</f>
        <v>1180</v>
      </c>
      <c r="Y28" s="14">
        <f t="shared" ref="Y28:AD28" si="7">+Y21-Y27</f>
        <v>1957.7900000000002</v>
      </c>
      <c r="Z28" s="14">
        <f t="shared" si="7"/>
        <v>2308.0054999999988</v>
      </c>
      <c r="AA28" s="14">
        <f t="shared" si="7"/>
        <v>3687.7539069999993</v>
      </c>
      <c r="AB28" s="14">
        <f t="shared" si="7"/>
        <v>4752.6386174299978</v>
      </c>
      <c r="AC28" s="14">
        <f t="shared" si="7"/>
        <v>6205.3156363602984</v>
      </c>
      <c r="AD28" s="14">
        <f t="shared" si="7"/>
        <v>6318.9387072613426</v>
      </c>
    </row>
    <row r="29" spans="2:204">
      <c r="B29" t="s">
        <v>48</v>
      </c>
      <c r="C29" s="2">
        <v>0</v>
      </c>
      <c r="D29" s="2">
        <v>2</v>
      </c>
      <c r="E29" s="2">
        <v>0</v>
      </c>
      <c r="F29" s="2">
        <v>-14</v>
      </c>
      <c r="G29" s="2">
        <v>0</v>
      </c>
      <c r="H29" s="2">
        <v>2</v>
      </c>
      <c r="I29" s="2">
        <v>2</v>
      </c>
      <c r="J29" s="2">
        <f>3-G29-H29-I29</f>
        <v>-1</v>
      </c>
      <c r="K29" s="2">
        <v>4</v>
      </c>
      <c r="L29" s="12">
        <v>2</v>
      </c>
      <c r="M29" s="2">
        <v>2</v>
      </c>
      <c r="N29" s="2">
        <f>10-K29-L29-M29</f>
        <v>2</v>
      </c>
      <c r="O29" s="2">
        <v>1</v>
      </c>
      <c r="P29" s="2">
        <v>3</v>
      </c>
      <c r="V29" s="1">
        <f>SUM(C29:F29)</f>
        <v>-12</v>
      </c>
      <c r="W29" s="1">
        <f>SUM(J29:M29)</f>
        <v>7</v>
      </c>
      <c r="X29" s="1">
        <f>SUM(K29:N29)</f>
        <v>10</v>
      </c>
      <c r="Y29" s="1">
        <v>10</v>
      </c>
      <c r="Z29" s="1">
        <v>10</v>
      </c>
      <c r="AA29" s="1">
        <v>10</v>
      </c>
      <c r="AB29" s="1">
        <v>10</v>
      </c>
      <c r="AC29" s="1">
        <v>10</v>
      </c>
      <c r="AD29" s="1">
        <v>10</v>
      </c>
    </row>
    <row r="30" spans="2:204">
      <c r="B30" s="33" t="s">
        <v>49</v>
      </c>
      <c r="C30" s="2">
        <f>+C28+C29</f>
        <v>-391</v>
      </c>
      <c r="D30" s="2">
        <f>+D28+D29</f>
        <v>-290</v>
      </c>
      <c r="E30" s="2">
        <f>+E28+E29</f>
        <v>-174</v>
      </c>
      <c r="F30" s="2">
        <f>+F28+F29</f>
        <v>-170</v>
      </c>
      <c r="G30" s="2">
        <f>+G28+G29</f>
        <v>-509</v>
      </c>
      <c r="H30" s="2">
        <f>+H28+H29</f>
        <v>22</v>
      </c>
      <c r="I30" s="2">
        <f>+I28+I29</f>
        <v>-71</v>
      </c>
      <c r="J30" s="2">
        <f>+J28+J29</f>
        <v>25</v>
      </c>
      <c r="K30" s="2">
        <f>+K28+K29</f>
        <v>162</v>
      </c>
      <c r="L30" s="12">
        <f>+L28+L29</f>
        <v>191</v>
      </c>
      <c r="M30" s="2">
        <f>+M28+M29</f>
        <v>153</v>
      </c>
      <c r="N30" s="2">
        <f>1064-506</f>
        <v>558</v>
      </c>
      <c r="O30" s="2">
        <f>+O28+O29</f>
        <v>371</v>
      </c>
      <c r="P30" s="2">
        <f>+P28+P29</f>
        <v>442</v>
      </c>
      <c r="V30" s="1">
        <f>+V28+V29</f>
        <v>-1025</v>
      </c>
      <c r="W30" s="1">
        <f>+W28+W29</f>
        <v>531</v>
      </c>
      <c r="X30" s="1">
        <f>+X28+X29</f>
        <v>1190</v>
      </c>
      <c r="Y30" s="1">
        <f>+Y28+Y29*AG39</f>
        <v>1959.7900000000002</v>
      </c>
      <c r="Z30" s="1">
        <f>+Z28+Z29*AG39</f>
        <v>2310.0054999999988</v>
      </c>
      <c r="AA30" s="1">
        <f>+AA28+AA29*AG39</f>
        <v>3689.7539069999993</v>
      </c>
      <c r="AB30" s="1">
        <f>+AB28+AB29*AG39</f>
        <v>4754.6386174299978</v>
      </c>
      <c r="AC30" s="1">
        <f>+AC28+AC29*AG39</f>
        <v>6207.3156363602984</v>
      </c>
      <c r="AD30" s="1">
        <f>+AD28+AD29*AG39</f>
        <v>6320.9387072613426</v>
      </c>
    </row>
    <row r="31" spans="2:204">
      <c r="B31" t="s">
        <v>50</v>
      </c>
      <c r="C31" s="2">
        <v>1</v>
      </c>
      <c r="D31" s="2">
        <v>1</v>
      </c>
      <c r="E31" s="2">
        <v>1</v>
      </c>
      <c r="F31" s="2">
        <v>-2</v>
      </c>
      <c r="G31" s="2">
        <v>2</v>
      </c>
      <c r="H31" s="2">
        <v>-3</v>
      </c>
      <c r="I31" s="2">
        <v>10</v>
      </c>
      <c r="J31" s="2">
        <f>8-G31-H31-I31</f>
        <v>-1</v>
      </c>
      <c r="K31" s="2">
        <v>5</v>
      </c>
      <c r="L31" s="12">
        <v>3</v>
      </c>
      <c r="M31" s="2">
        <v>3</v>
      </c>
      <c r="N31" s="2">
        <f>-347-K31-L31-M31</f>
        <v>-358</v>
      </c>
      <c r="O31" s="2">
        <v>35</v>
      </c>
      <c r="P31" s="2">
        <v>56</v>
      </c>
      <c r="V31" s="1">
        <f>SUM(C31:F31)</f>
        <v>1</v>
      </c>
      <c r="W31" s="1">
        <f>SUM(J31:M31)</f>
        <v>10</v>
      </c>
      <c r="X31" s="1">
        <f>SUM(K31:N31)</f>
        <v>-347</v>
      </c>
      <c r="Y31" s="1">
        <v>-344</v>
      </c>
      <c r="Z31" s="1">
        <v>-341</v>
      </c>
      <c r="AA31" s="1">
        <v>-338</v>
      </c>
      <c r="AB31" s="1">
        <v>-335</v>
      </c>
      <c r="AC31" s="1">
        <v>-332</v>
      </c>
      <c r="AD31" s="1">
        <v>-329</v>
      </c>
    </row>
    <row r="32" spans="2:204">
      <c r="B32" s="33" t="s">
        <v>51</v>
      </c>
      <c r="C32" s="2">
        <f>+C30-C31</f>
        <v>-392</v>
      </c>
      <c r="D32" s="2">
        <f>+D30-D31</f>
        <v>-291</v>
      </c>
      <c r="E32" s="2">
        <f>+E30-E31</f>
        <v>-175</v>
      </c>
      <c r="F32" s="2">
        <f>+F30-F31</f>
        <v>-168</v>
      </c>
      <c r="G32" s="2">
        <f>+G30-G31</f>
        <v>-511</v>
      </c>
      <c r="H32" s="2">
        <f>+H30-H31</f>
        <v>25</v>
      </c>
      <c r="I32" s="2">
        <f>+I30-I31</f>
        <v>-81</v>
      </c>
      <c r="J32" s="2">
        <f>+J30-J31</f>
        <v>26</v>
      </c>
      <c r="K32" s="2">
        <v>157</v>
      </c>
      <c r="L32" s="12">
        <f>+L30-L31</f>
        <v>188</v>
      </c>
      <c r="M32" s="2">
        <v>150</v>
      </c>
      <c r="N32" s="2">
        <f>1411-495</f>
        <v>916</v>
      </c>
      <c r="O32" s="2">
        <v>336</v>
      </c>
      <c r="P32" s="2">
        <v>386</v>
      </c>
      <c r="V32" s="5">
        <f>+V30-V31</f>
        <v>-1026</v>
      </c>
      <c r="W32" s="5">
        <f>+W30-W31</f>
        <v>521</v>
      </c>
      <c r="X32" s="5">
        <f>+X30-X31</f>
        <v>1537</v>
      </c>
      <c r="Y32" s="5">
        <f t="shared" ref="Y32:AD32" si="8">+Y30-Y31</f>
        <v>2303.79</v>
      </c>
      <c r="Z32" s="5">
        <f t="shared" si="8"/>
        <v>2651.0054999999988</v>
      </c>
      <c r="AA32" s="5">
        <f t="shared" si="8"/>
        <v>4027.7539069999993</v>
      </c>
      <c r="AB32" s="5">
        <f t="shared" si="8"/>
        <v>5089.6386174299978</v>
      </c>
      <c r="AC32" s="5">
        <f t="shared" si="8"/>
        <v>6539.3156363602984</v>
      </c>
      <c r="AD32" s="5">
        <f t="shared" si="8"/>
        <v>6649.9387072613426</v>
      </c>
      <c r="AE32" s="1">
        <f>+AD32*(1+$AG$37)</f>
        <v>6849.4368684791834</v>
      </c>
      <c r="AF32" s="1">
        <f t="shared" ref="AF32:CQ32" si="9">+AE32*(1+$AG$37)</f>
        <v>7054.9199745335591</v>
      </c>
      <c r="AG32" s="1">
        <f t="shared" si="9"/>
        <v>7266.5675737695665</v>
      </c>
      <c r="AH32" s="1">
        <f t="shared" si="9"/>
        <v>7484.5646009826532</v>
      </c>
      <c r="AI32" s="1">
        <f t="shared" si="9"/>
        <v>7709.1015390121329</v>
      </c>
      <c r="AJ32" s="1">
        <f t="shared" si="9"/>
        <v>7940.374585182497</v>
      </c>
      <c r="AK32" s="1">
        <f t="shared" si="9"/>
        <v>8178.5858227379722</v>
      </c>
      <c r="AL32" s="1">
        <f t="shared" si="9"/>
        <v>8423.9433974201111</v>
      </c>
      <c r="AM32" s="1">
        <f t="shared" si="9"/>
        <v>8676.6616993427142</v>
      </c>
      <c r="AN32" s="1">
        <f t="shared" si="9"/>
        <v>8936.9615503229961</v>
      </c>
      <c r="AO32" s="1">
        <f t="shared" si="9"/>
        <v>9205.070396832687</v>
      </c>
      <c r="AP32" s="1">
        <f t="shared" si="9"/>
        <v>9481.2225087376682</v>
      </c>
      <c r="AQ32" s="1">
        <f t="shared" si="9"/>
        <v>9765.6591839997982</v>
      </c>
      <c r="AR32" s="1">
        <f t="shared" si="9"/>
        <v>10058.628959519792</v>
      </c>
      <c r="AS32" s="1">
        <f t="shared" si="9"/>
        <v>10360.387828305385</v>
      </c>
      <c r="AT32" s="1">
        <f t="shared" si="9"/>
        <v>10671.199463154548</v>
      </c>
      <c r="AU32" s="1">
        <f t="shared" si="9"/>
        <v>10991.335447049185</v>
      </c>
      <c r="AV32" s="1">
        <f t="shared" si="9"/>
        <v>11321.075510460661</v>
      </c>
      <c r="AW32" s="1">
        <f t="shared" si="9"/>
        <v>11660.707775774481</v>
      </c>
      <c r="AX32" s="1">
        <f t="shared" si="9"/>
        <v>12010.529009047716</v>
      </c>
      <c r="AY32" s="1">
        <f t="shared" si="9"/>
        <v>12370.844879319147</v>
      </c>
      <c r="AZ32" s="1">
        <f t="shared" si="9"/>
        <v>12741.970225698722</v>
      </c>
      <c r="BA32" s="1">
        <f t="shared" si="9"/>
        <v>13124.229332469684</v>
      </c>
      <c r="BB32" s="1">
        <f t="shared" si="9"/>
        <v>13517.956212443774</v>
      </c>
      <c r="BC32" s="1">
        <f t="shared" si="9"/>
        <v>13923.494898817087</v>
      </c>
      <c r="BD32" s="1">
        <f t="shared" si="9"/>
        <v>14341.1997457816</v>
      </c>
      <c r="BE32" s="1">
        <f t="shared" si="9"/>
        <v>14771.435738155047</v>
      </c>
      <c r="BF32" s="1">
        <f t="shared" si="9"/>
        <v>15214.578810299699</v>
      </c>
      <c r="BG32" s="1">
        <f t="shared" si="9"/>
        <v>15671.016174608691</v>
      </c>
      <c r="BH32" s="1">
        <f t="shared" si="9"/>
        <v>16141.146659846952</v>
      </c>
      <c r="BI32" s="1">
        <f t="shared" si="9"/>
        <v>16625.381059642361</v>
      </c>
      <c r="BJ32" s="1">
        <f t="shared" si="9"/>
        <v>17124.142491431634</v>
      </c>
      <c r="BK32" s="1">
        <f t="shared" si="9"/>
        <v>17637.866766174582</v>
      </c>
      <c r="BL32" s="1">
        <f t="shared" si="9"/>
        <v>18167.002769159819</v>
      </c>
      <c r="BM32" s="1">
        <f t="shared" si="9"/>
        <v>18712.012852234613</v>
      </c>
      <c r="BN32" s="1">
        <f t="shared" si="9"/>
        <v>19273.37323780165</v>
      </c>
      <c r="BO32" s="1">
        <f t="shared" si="9"/>
        <v>19851.574434935701</v>
      </c>
      <c r="BP32" s="1">
        <f t="shared" si="9"/>
        <v>20447.121667983771</v>
      </c>
      <c r="BQ32" s="1">
        <f t="shared" si="9"/>
        <v>21060.535318023285</v>
      </c>
      <c r="BR32" s="1">
        <f t="shared" si="9"/>
        <v>21692.351377563984</v>
      </c>
      <c r="BS32" s="1">
        <f t="shared" si="9"/>
        <v>22343.121918890905</v>
      </c>
      <c r="BT32" s="1">
        <f t="shared" si="9"/>
        <v>23013.415576457632</v>
      </c>
      <c r="BU32" s="1">
        <f t="shared" si="9"/>
        <v>23703.818043751362</v>
      </c>
      <c r="BV32" s="1">
        <f t="shared" si="9"/>
        <v>24414.932585063903</v>
      </c>
      <c r="BW32" s="1">
        <f t="shared" si="9"/>
        <v>25147.380562615821</v>
      </c>
      <c r="BX32" s="1">
        <f t="shared" si="9"/>
        <v>25901.801979494296</v>
      </c>
      <c r="BY32" s="1">
        <f t="shared" si="9"/>
        <v>26678.856038879127</v>
      </c>
      <c r="BZ32" s="1">
        <f t="shared" si="9"/>
        <v>27479.221720045502</v>
      </c>
      <c r="CA32" s="1">
        <f t="shared" si="9"/>
        <v>28303.598371646869</v>
      </c>
      <c r="CB32" s="1">
        <f t="shared" si="9"/>
        <v>29152.706322796275</v>
      </c>
      <c r="CC32" s="1">
        <f t="shared" si="9"/>
        <v>30027.287512480165</v>
      </c>
      <c r="CD32" s="1">
        <f t="shared" si="9"/>
        <v>30928.106137854571</v>
      </c>
      <c r="CE32" s="1">
        <f t="shared" si="9"/>
        <v>31855.949321990211</v>
      </c>
      <c r="CF32" s="1">
        <f t="shared" si="9"/>
        <v>32811.62780164992</v>
      </c>
      <c r="CG32" s="1">
        <f t="shared" si="9"/>
        <v>33795.976635699415</v>
      </c>
      <c r="CH32" s="1">
        <f t="shared" si="9"/>
        <v>34809.855934770399</v>
      </c>
      <c r="CI32" s="1">
        <f t="shared" si="9"/>
        <v>35854.151612813512</v>
      </c>
      <c r="CJ32" s="1">
        <f t="shared" si="9"/>
        <v>36929.776161197915</v>
      </c>
      <c r="CK32" s="1">
        <f t="shared" si="9"/>
        <v>38037.669446033855</v>
      </c>
      <c r="CL32" s="1">
        <f t="shared" si="9"/>
        <v>39178.799529414871</v>
      </c>
      <c r="CM32" s="1">
        <f t="shared" si="9"/>
        <v>40354.163515297318</v>
      </c>
      <c r="CN32" s="1">
        <f t="shared" si="9"/>
        <v>41564.788420756238</v>
      </c>
      <c r="CO32" s="1">
        <f t="shared" si="9"/>
        <v>42811.732073378924</v>
      </c>
      <c r="CP32" s="1">
        <f t="shared" si="9"/>
        <v>44096.084035580294</v>
      </c>
      <c r="CQ32" s="1">
        <f t="shared" si="9"/>
        <v>45418.966556647705</v>
      </c>
      <c r="CR32" s="1">
        <f t="shared" ref="CR32:FC32" si="10">+CQ32*(1+$AG$37)</f>
        <v>46781.535553347137</v>
      </c>
      <c r="CS32" s="1">
        <f t="shared" si="10"/>
        <v>48184.981619947554</v>
      </c>
      <c r="CT32" s="1">
        <f t="shared" si="10"/>
        <v>49630.531068545984</v>
      </c>
      <c r="CU32" s="1">
        <f t="shared" si="10"/>
        <v>51119.447000602362</v>
      </c>
      <c r="CV32" s="1">
        <f t="shared" si="10"/>
        <v>52653.030410620435</v>
      </c>
      <c r="CW32" s="1">
        <f t="shared" si="10"/>
        <v>54232.621322939049</v>
      </c>
      <c r="CX32" s="1">
        <f t="shared" si="10"/>
        <v>55859.599962627224</v>
      </c>
      <c r="CY32" s="1">
        <f t="shared" si="10"/>
        <v>57535.387961506043</v>
      </c>
      <c r="CZ32" s="1">
        <f t="shared" si="10"/>
        <v>59261.449600351225</v>
      </c>
      <c r="DA32" s="1">
        <f t="shared" si="10"/>
        <v>61039.293088361766</v>
      </c>
      <c r="DB32" s="1">
        <f t="shared" si="10"/>
        <v>62870.471881012621</v>
      </c>
      <c r="DC32" s="1">
        <f t="shared" si="10"/>
        <v>64756.586037443005</v>
      </c>
      <c r="DD32" s="1">
        <f t="shared" si="10"/>
        <v>66699.283618566304</v>
      </c>
      <c r="DE32" s="1">
        <f t="shared" si="10"/>
        <v>68700.262127123293</v>
      </c>
      <c r="DF32" s="1">
        <f t="shared" si="10"/>
        <v>70761.269990936999</v>
      </c>
      <c r="DG32" s="1">
        <f t="shared" si="10"/>
        <v>72884.108090665104</v>
      </c>
      <c r="DH32" s="1">
        <f t="shared" si="10"/>
        <v>75070.631333385056</v>
      </c>
      <c r="DI32" s="1">
        <f t="shared" si="10"/>
        <v>77322.750273386613</v>
      </c>
      <c r="DJ32" s="1">
        <f t="shared" si="10"/>
        <v>79642.432781588213</v>
      </c>
      <c r="DK32" s="1">
        <f t="shared" si="10"/>
        <v>82031.705765035862</v>
      </c>
      <c r="DL32" s="1">
        <f t="shared" si="10"/>
        <v>84492.656937986947</v>
      </c>
      <c r="DM32" s="1">
        <f t="shared" si="10"/>
        <v>87027.43664612656</v>
      </c>
      <c r="DN32" s="1">
        <f t="shared" si="10"/>
        <v>89638.259745510353</v>
      </c>
      <c r="DO32" s="1">
        <f t="shared" si="10"/>
        <v>92327.407537875668</v>
      </c>
      <c r="DP32" s="1">
        <f t="shared" si="10"/>
        <v>95097.229764011936</v>
      </c>
      <c r="DQ32" s="1">
        <f t="shared" si="10"/>
        <v>97950.146656932295</v>
      </c>
      <c r="DR32" s="1">
        <f t="shared" si="10"/>
        <v>100888.65105664027</v>
      </c>
      <c r="DS32" s="1">
        <f t="shared" si="10"/>
        <v>103915.31058833949</v>
      </c>
      <c r="DT32" s="1">
        <f t="shared" si="10"/>
        <v>107032.76990598967</v>
      </c>
      <c r="DU32" s="1">
        <f t="shared" si="10"/>
        <v>110243.75300316936</v>
      </c>
      <c r="DV32" s="1">
        <f t="shared" si="10"/>
        <v>113551.06559326444</v>
      </c>
      <c r="DW32" s="1">
        <f t="shared" si="10"/>
        <v>116957.59756106239</v>
      </c>
      <c r="DX32" s="1">
        <f t="shared" si="10"/>
        <v>120466.32548789427</v>
      </c>
      <c r="DY32" s="1">
        <f t="shared" si="10"/>
        <v>124080.3152525311</v>
      </c>
      <c r="DZ32" s="1">
        <f t="shared" si="10"/>
        <v>127802.72471010704</v>
      </c>
      <c r="EA32" s="1">
        <f t="shared" si="10"/>
        <v>131636.80645141026</v>
      </c>
      <c r="EB32" s="1">
        <f t="shared" si="10"/>
        <v>135585.91064495256</v>
      </c>
      <c r="EC32" s="1">
        <f t="shared" si="10"/>
        <v>139653.48796430114</v>
      </c>
      <c r="ED32" s="1">
        <f t="shared" si="10"/>
        <v>143843.09260323018</v>
      </c>
      <c r="EE32" s="1">
        <f t="shared" si="10"/>
        <v>148158.3853813271</v>
      </c>
      <c r="EF32" s="1">
        <f t="shared" si="10"/>
        <v>152603.13694276693</v>
      </c>
      <c r="EG32" s="1">
        <f t="shared" si="10"/>
        <v>157181.23105104995</v>
      </c>
      <c r="EH32" s="1">
        <f t="shared" si="10"/>
        <v>161896.66798258145</v>
      </c>
      <c r="EI32" s="1">
        <f t="shared" si="10"/>
        <v>166753.5680220589</v>
      </c>
      <c r="EJ32" s="1">
        <f t="shared" si="10"/>
        <v>171756.17506272066</v>
      </c>
      <c r="EK32" s="1">
        <f t="shared" si="10"/>
        <v>176908.86031460229</v>
      </c>
      <c r="EL32" s="1">
        <f t="shared" si="10"/>
        <v>182216.12612404037</v>
      </c>
      <c r="EM32" s="1">
        <f t="shared" si="10"/>
        <v>187682.60990776159</v>
      </c>
      <c r="EN32" s="1">
        <f t="shared" si="10"/>
        <v>193313.08820499445</v>
      </c>
      <c r="EO32" s="1">
        <f t="shared" si="10"/>
        <v>199112.4808511443</v>
      </c>
      <c r="EP32" s="1">
        <f t="shared" si="10"/>
        <v>205085.85527667863</v>
      </c>
      <c r="EQ32" s="1">
        <f t="shared" si="10"/>
        <v>211238.430934979</v>
      </c>
      <c r="ER32" s="1">
        <f t="shared" si="10"/>
        <v>217575.58386302838</v>
      </c>
      <c r="ES32" s="1">
        <f t="shared" si="10"/>
        <v>224102.85137891924</v>
      </c>
      <c r="ET32" s="1">
        <f t="shared" si="10"/>
        <v>230825.93692028683</v>
      </c>
      <c r="EU32" s="1">
        <f t="shared" si="10"/>
        <v>237750.71502789544</v>
      </c>
      <c r="EV32" s="1">
        <f t="shared" si="10"/>
        <v>244883.23647873232</v>
      </c>
      <c r="EW32" s="1">
        <f t="shared" si="10"/>
        <v>252229.7335730943</v>
      </c>
      <c r="EX32" s="1">
        <f t="shared" si="10"/>
        <v>259796.62558028713</v>
      </c>
      <c r="EY32" s="1">
        <f t="shared" si="10"/>
        <v>267590.52434769575</v>
      </c>
      <c r="EZ32" s="1">
        <f t="shared" si="10"/>
        <v>275618.24007812666</v>
      </c>
      <c r="FA32" s="1">
        <f t="shared" si="10"/>
        <v>283886.78728047048</v>
      </c>
      <c r="FB32" s="1">
        <f t="shared" si="10"/>
        <v>292403.39089888462</v>
      </c>
      <c r="FC32" s="1">
        <f t="shared" si="10"/>
        <v>301175.49262585118</v>
      </c>
      <c r="FD32" s="1">
        <f t="shared" ref="FD32:GV32" si="11">+FC32*(1+$AG$37)</f>
        <v>310210.75740462675</v>
      </c>
      <c r="FE32" s="1">
        <f t="shared" si="11"/>
        <v>319517.08012676559</v>
      </c>
      <c r="FF32" s="1">
        <f t="shared" si="11"/>
        <v>329102.5925305686</v>
      </c>
      <c r="FG32" s="1">
        <f t="shared" si="11"/>
        <v>338975.67030648567</v>
      </c>
      <c r="FH32" s="1">
        <f t="shared" si="11"/>
        <v>349144.94041568023</v>
      </c>
      <c r="FI32" s="1">
        <f t="shared" si="11"/>
        <v>359619.28862815065</v>
      </c>
      <c r="FJ32" s="1">
        <f t="shared" si="11"/>
        <v>370407.86728699517</v>
      </c>
      <c r="FK32" s="1">
        <f t="shared" si="11"/>
        <v>381520.10330560501</v>
      </c>
      <c r="FL32" s="1">
        <f t="shared" si="11"/>
        <v>392965.70640477317</v>
      </c>
      <c r="FM32" s="1">
        <f t="shared" si="11"/>
        <v>404754.67759691639</v>
      </c>
      <c r="FN32" s="1">
        <f t="shared" si="11"/>
        <v>416897.3179248239</v>
      </c>
      <c r="FO32" s="1">
        <f t="shared" si="11"/>
        <v>429404.23746256862</v>
      </c>
      <c r="FP32" s="1">
        <f t="shared" si="11"/>
        <v>442286.36458644568</v>
      </c>
      <c r="FQ32" s="1">
        <f t="shared" si="11"/>
        <v>455554.95552403905</v>
      </c>
      <c r="FR32" s="1">
        <f t="shared" si="11"/>
        <v>469221.60418976023</v>
      </c>
      <c r="FS32" s="1">
        <f t="shared" si="11"/>
        <v>483298.25231545302</v>
      </c>
      <c r="FT32" s="1">
        <f t="shared" si="11"/>
        <v>497797.1998849166</v>
      </c>
      <c r="FU32" s="1">
        <f t="shared" si="11"/>
        <v>512731.11588146409</v>
      </c>
      <c r="FV32" s="1">
        <f t="shared" si="11"/>
        <v>528113.04935790808</v>
      </c>
      <c r="FW32" s="1">
        <f t="shared" si="11"/>
        <v>543956.44083864533</v>
      </c>
      <c r="FX32" s="1">
        <f t="shared" si="11"/>
        <v>560275.13406380475</v>
      </c>
      <c r="FY32" s="1">
        <f t="shared" si="11"/>
        <v>577083.38808571897</v>
      </c>
      <c r="FZ32" s="1">
        <f t="shared" si="11"/>
        <v>594395.88972829049</v>
      </c>
      <c r="GA32" s="1">
        <f t="shared" si="11"/>
        <v>612227.76642013923</v>
      </c>
      <c r="GB32" s="1">
        <f t="shared" si="11"/>
        <v>630594.59941274347</v>
      </c>
      <c r="GC32" s="1">
        <f t="shared" si="11"/>
        <v>649512.43739512574</v>
      </c>
      <c r="GD32" s="1">
        <f t="shared" si="11"/>
        <v>668997.81051697955</v>
      </c>
      <c r="GE32" s="1">
        <f t="shared" si="11"/>
        <v>689067.74483248894</v>
      </c>
      <c r="GF32" s="1">
        <f t="shared" si="11"/>
        <v>709739.77717746363</v>
      </c>
      <c r="GG32" s="1">
        <f t="shared" si="11"/>
        <v>731031.97049278754</v>
      </c>
      <c r="GH32" s="1">
        <f t="shared" si="11"/>
        <v>752962.92960757122</v>
      </c>
      <c r="GI32" s="1">
        <f t="shared" si="11"/>
        <v>775551.81749579834</v>
      </c>
      <c r="GJ32" s="1">
        <f t="shared" si="11"/>
        <v>798818.37202067231</v>
      </c>
      <c r="GK32" s="1">
        <f t="shared" si="11"/>
        <v>822782.92318129248</v>
      </c>
      <c r="GL32" s="1">
        <f t="shared" si="11"/>
        <v>847466.41087673127</v>
      </c>
      <c r="GM32" s="1">
        <f t="shared" si="11"/>
        <v>872890.40320303326</v>
      </c>
      <c r="GN32" s="1">
        <f t="shared" si="11"/>
        <v>899077.11529912427</v>
      </c>
      <c r="GO32" s="1">
        <f t="shared" si="11"/>
        <v>926049.42875809805</v>
      </c>
      <c r="GP32" s="1">
        <f t="shared" si="11"/>
        <v>953830.91162084101</v>
      </c>
      <c r="GQ32" s="1">
        <f t="shared" si="11"/>
        <v>982445.83896946628</v>
      </c>
      <c r="GR32" s="1">
        <f t="shared" si="11"/>
        <v>1011919.2141385503</v>
      </c>
      <c r="GS32" s="1">
        <f t="shared" si="11"/>
        <v>1042276.7905627069</v>
      </c>
      <c r="GT32" s="1">
        <f t="shared" si="11"/>
        <v>1073545.0942795882</v>
      </c>
      <c r="GU32" s="1">
        <f t="shared" si="11"/>
        <v>1105751.4471079758</v>
      </c>
      <c r="GV32" s="1">
        <f t="shared" si="11"/>
        <v>1138923.9905212151</v>
      </c>
    </row>
    <row r="33" spans="2:33" s="16" customFormat="1" ht="13.5" customHeight="1">
      <c r="B33" s="35" t="s">
        <v>52</v>
      </c>
      <c r="C33" s="17">
        <f>+C32/C34</f>
        <v>-0.45161290322580644</v>
      </c>
      <c r="D33" s="17">
        <f>+D32/D34</f>
        <v>-0.33257142857142857</v>
      </c>
      <c r="E33" s="17">
        <f>+E32/E34</f>
        <v>-0.1984126984126984</v>
      </c>
      <c r="F33" s="17">
        <f>+F32/F34</f>
        <v>-0.18892545266133617</v>
      </c>
      <c r="G33" s="17">
        <f>+G32/G34</f>
        <v>-0.56215621562156215</v>
      </c>
      <c r="H33" s="17">
        <f>+H32/H34</f>
        <v>2.713646033329159E-2</v>
      </c>
      <c r="I33" s="17">
        <f>+I32/I34</f>
        <v>-9.0502793296089387E-2</v>
      </c>
      <c r="J33" s="17">
        <f>+J32/J34</f>
        <v>2.9180695847362513E-2</v>
      </c>
      <c r="K33" s="17">
        <f>+K32/K34</f>
        <v>0.17541899441340783</v>
      </c>
      <c r="L33" s="22">
        <f>+L32/L34</f>
        <v>0.20785180721596289</v>
      </c>
      <c r="M33" s="17">
        <f>+M32/M34</f>
        <v>0.16574585635359115</v>
      </c>
      <c r="N33" s="17">
        <f>+N32/N34</f>
        <v>1.011037527593819</v>
      </c>
      <c r="O33" s="17">
        <f>+O32/O34</f>
        <v>0.36963696369636961</v>
      </c>
      <c r="P33" s="17">
        <f>+P32/P34</f>
        <v>0.42464246424642466</v>
      </c>
      <c r="V33" s="15">
        <f>+V32/V34</f>
        <v>-1.1541057367829022</v>
      </c>
      <c r="W33" s="15">
        <f>+W32/W34</f>
        <v>0.57569060773480663</v>
      </c>
      <c r="X33" s="15">
        <f>+X32/X34</f>
        <v>1.6983425414364641</v>
      </c>
      <c r="Y33" s="15">
        <f t="shared" ref="Y33:AD33" si="12">+Y32/Y34</f>
        <v>2.5456243093922652</v>
      </c>
      <c r="Z33" s="15">
        <f t="shared" si="12"/>
        <v>2.929287845303866</v>
      </c>
      <c r="AA33" s="15">
        <f t="shared" si="12"/>
        <v>4.4505568033149165</v>
      </c>
      <c r="AB33" s="15">
        <f t="shared" si="12"/>
        <v>5.6239100745082853</v>
      </c>
      <c r="AC33" s="15">
        <f t="shared" si="12"/>
        <v>7.2257631340997772</v>
      </c>
      <c r="AD33" s="15">
        <f t="shared" si="12"/>
        <v>7.3479985715594944</v>
      </c>
    </row>
    <row r="34" spans="2:33" s="1" customFormat="1">
      <c r="B34" s="1" t="s">
        <v>2</v>
      </c>
      <c r="C34" s="5">
        <v>868</v>
      </c>
      <c r="D34" s="5">
        <v>875</v>
      </c>
      <c r="E34" s="5">
        <v>882</v>
      </c>
      <c r="F34" s="5">
        <v>889.23963200000003</v>
      </c>
      <c r="G34" s="5">
        <v>909</v>
      </c>
      <c r="H34" s="5">
        <v>921.26974900000005</v>
      </c>
      <c r="I34" s="5">
        <v>895</v>
      </c>
      <c r="J34" s="5">
        <v>891</v>
      </c>
      <c r="K34" s="5">
        <v>895</v>
      </c>
      <c r="L34" s="18">
        <v>904.49057200000004</v>
      </c>
      <c r="M34" s="5">
        <v>905</v>
      </c>
      <c r="N34" s="5">
        <v>906</v>
      </c>
      <c r="O34" s="5">
        <v>909</v>
      </c>
      <c r="P34" s="5">
        <v>909</v>
      </c>
      <c r="V34" s="5">
        <v>889</v>
      </c>
      <c r="W34" s="5">
        <v>905</v>
      </c>
      <c r="X34" s="5">
        <v>905</v>
      </c>
      <c r="Y34" s="5">
        <v>905</v>
      </c>
      <c r="Z34" s="5">
        <v>905</v>
      </c>
      <c r="AA34" s="5">
        <v>905</v>
      </c>
      <c r="AB34" s="5">
        <v>905</v>
      </c>
      <c r="AC34" s="5">
        <v>905</v>
      </c>
      <c r="AD34" s="5">
        <v>905</v>
      </c>
    </row>
    <row r="35" spans="2:33">
      <c r="D35"/>
      <c r="E35"/>
      <c r="G35"/>
      <c r="I35"/>
      <c r="K35"/>
      <c r="L35" s="12"/>
      <c r="M35"/>
      <c r="N35"/>
    </row>
    <row r="36" spans="2:33" s="3" customFormat="1">
      <c r="B36" s="3" t="s">
        <v>53</v>
      </c>
      <c r="C36" s="6"/>
      <c r="D36" s="6"/>
      <c r="E36" s="6"/>
      <c r="F36" s="6"/>
      <c r="G36" s="6">
        <f>+G19/C19-1</f>
        <v>0.47491638795986613</v>
      </c>
      <c r="H36" s="6">
        <f>+H19/D19-1</f>
        <v>0.52830188679245293</v>
      </c>
      <c r="I36" s="6">
        <f>+I19/E19-1</f>
        <v>0.29362880886426601</v>
      </c>
      <c r="J36" s="6">
        <f>+J19/F19-1</f>
        <v>0.24603174603174605</v>
      </c>
      <c r="K36" s="6">
        <f>+K19/G19-1</f>
        <v>0.40136054421768708</v>
      </c>
      <c r="L36" s="23">
        <f>+L19/H19-1</f>
        <v>0.40329218106995879</v>
      </c>
      <c r="M36" s="6">
        <f>+M19/I19-1</f>
        <v>0.3640256959314776</v>
      </c>
      <c r="N36" s="6">
        <f>+N19/J19-1</f>
        <v>1.2590233545647558</v>
      </c>
      <c r="O36" s="6">
        <f>+O19/K19-1</f>
        <v>0.5</v>
      </c>
      <c r="P36" s="6">
        <f>+P19/L19-1</f>
        <v>0.45014662756598245</v>
      </c>
      <c r="V36" s="6"/>
      <c r="W36" s="6">
        <f>+W19/V19-1</f>
        <v>0.77581120943952797</v>
      </c>
      <c r="X36" s="6">
        <f t="shared" ref="X36:AD36" si="13">+X19/W19-1</f>
        <v>0.24626245847176076</v>
      </c>
      <c r="Y36" s="6">
        <f t="shared" si="13"/>
        <v>0.30889703432189264</v>
      </c>
      <c r="Z36" s="6">
        <f t="shared" si="13"/>
        <v>0.16999999999999993</v>
      </c>
      <c r="AA36" s="6">
        <f t="shared" si="13"/>
        <v>0.29000000000000004</v>
      </c>
      <c r="AB36" s="6">
        <f t="shared" si="13"/>
        <v>0.14999999999999991</v>
      </c>
      <c r="AC36" s="6">
        <f t="shared" si="13"/>
        <v>0.24</v>
      </c>
      <c r="AD36" s="6">
        <f t="shared" si="13"/>
        <v>5.0000000000000044E-2</v>
      </c>
    </row>
    <row r="37" spans="2:33">
      <c r="B37" t="s">
        <v>40</v>
      </c>
      <c r="C37" s="6">
        <f t="shared" ref="C37:O37" si="14">+C21/C19</f>
        <v>0.89632107023411367</v>
      </c>
      <c r="D37" s="6">
        <f t="shared" si="14"/>
        <v>0.90566037735849059</v>
      </c>
      <c r="E37" s="6">
        <f t="shared" si="14"/>
        <v>0.90858725761772852</v>
      </c>
      <c r="F37" s="6">
        <f t="shared" si="14"/>
        <v>0.77513227513227512</v>
      </c>
      <c r="G37" s="6">
        <f t="shared" si="14"/>
        <v>0.91836734693877553</v>
      </c>
      <c r="H37" s="6">
        <f t="shared" si="14"/>
        <v>0.91975308641975306</v>
      </c>
      <c r="I37" s="6">
        <f t="shared" si="14"/>
        <v>0.91648822269807284</v>
      </c>
      <c r="J37" s="6">
        <f t="shared" si="14"/>
        <v>0.93205944798301488</v>
      </c>
      <c r="K37" s="6">
        <f t="shared" si="14"/>
        <v>0.94336569579288021</v>
      </c>
      <c r="L37" s="6">
        <f t="shared" si="14"/>
        <v>0.94134897360703818</v>
      </c>
      <c r="M37" s="6">
        <f t="shared" si="14"/>
        <v>0.93877551020408168</v>
      </c>
      <c r="N37" s="6">
        <f t="shared" si="14"/>
        <v>0.95300751879699253</v>
      </c>
      <c r="O37" s="6">
        <f t="shared" si="14"/>
        <v>0.94606256742179073</v>
      </c>
      <c r="P37" s="6">
        <f>+P21/P19</f>
        <v>0.95146612740141556</v>
      </c>
      <c r="V37" s="6">
        <f t="shared" ref="V37:AD37" si="15">+V21/V19</f>
        <v>0.86799410029498525</v>
      </c>
      <c r="W37" s="6">
        <f t="shared" si="15"/>
        <v>0.93936877076411962</v>
      </c>
      <c r="X37" s="6">
        <f t="shared" si="15"/>
        <v>0.94535154948350553</v>
      </c>
      <c r="Y37" s="6">
        <f t="shared" si="15"/>
        <v>0.9244806517311609</v>
      </c>
      <c r="Z37" s="6">
        <f t="shared" si="15"/>
        <v>0.87</v>
      </c>
      <c r="AA37" s="6">
        <f t="shared" si="15"/>
        <v>0.91</v>
      </c>
      <c r="AB37" s="6">
        <f t="shared" si="15"/>
        <v>0.94999999999999984</v>
      </c>
      <c r="AC37" s="6">
        <f t="shared" si="15"/>
        <v>0.94</v>
      </c>
      <c r="AD37" s="6">
        <f t="shared" si="15"/>
        <v>0.91</v>
      </c>
      <c r="AF37" s="27" t="s">
        <v>54</v>
      </c>
      <c r="AG37" s="28">
        <v>0.03</v>
      </c>
    </row>
    <row r="38" spans="2:33">
      <c r="B38" t="s">
        <v>55</v>
      </c>
      <c r="C38" s="26">
        <f t="shared" ref="C38:O38" si="16">+C28/C19</f>
        <v>-1.3076923076923077</v>
      </c>
      <c r="D38" s="26">
        <f t="shared" si="16"/>
        <v>-0.91823899371069184</v>
      </c>
      <c r="E38" s="26">
        <f t="shared" si="16"/>
        <v>-0.48199445983379502</v>
      </c>
      <c r="F38" s="26">
        <f>+F28/F19</f>
        <v>-0.41269841269841268</v>
      </c>
      <c r="G38" s="26">
        <f t="shared" si="16"/>
        <v>-1.1541950113378685</v>
      </c>
      <c r="H38" s="26">
        <f t="shared" si="16"/>
        <v>4.1152263374485597E-2</v>
      </c>
      <c r="I38" s="26">
        <f t="shared" si="16"/>
        <v>-0.15631691648822268</v>
      </c>
      <c r="J38" s="26">
        <f t="shared" si="16"/>
        <v>5.5201698513800426E-2</v>
      </c>
      <c r="K38" s="26">
        <f t="shared" si="16"/>
        <v>0.25566343042071199</v>
      </c>
      <c r="L38" s="26">
        <f t="shared" si="16"/>
        <v>0.27712609970674484</v>
      </c>
      <c r="M38" s="26">
        <f t="shared" si="16"/>
        <v>0.23704866562009419</v>
      </c>
      <c r="N38" s="26">
        <f t="shared" si="16"/>
        <v>0.56954887218045114</v>
      </c>
      <c r="O38" s="26">
        <f t="shared" si="16"/>
        <v>0.39913700107874867</v>
      </c>
      <c r="P38" s="26">
        <f>+P28/P19</f>
        <v>0.44388270980788674</v>
      </c>
      <c r="V38" s="26">
        <f t="shared" ref="V38:AD38" si="17">+V28/V19</f>
        <v>-0.74705014749262533</v>
      </c>
      <c r="W38" s="26">
        <f t="shared" si="17"/>
        <v>0.21760797342192692</v>
      </c>
      <c r="X38" s="26">
        <f t="shared" si="17"/>
        <v>0.39320226591136287</v>
      </c>
      <c r="Y38" s="26">
        <f t="shared" si="17"/>
        <v>0.49841904276985749</v>
      </c>
      <c r="Z38" s="26">
        <f t="shared" si="17"/>
        <v>0.50220322645220794</v>
      </c>
      <c r="AA38" s="26">
        <f t="shared" si="17"/>
        <v>0.62203508427653498</v>
      </c>
      <c r="AB38" s="26">
        <f t="shared" si="17"/>
        <v>0.69709168271243493</v>
      </c>
      <c r="AC38" s="26">
        <f t="shared" si="17"/>
        <v>0.73400209640287051</v>
      </c>
      <c r="AD38" s="26">
        <f t="shared" si="17"/>
        <v>0.71184963558752312</v>
      </c>
      <c r="AF38" s="29" t="s">
        <v>56</v>
      </c>
      <c r="AG38" s="30">
        <v>7.0000000000000007E-2</v>
      </c>
    </row>
    <row r="39" spans="2:33"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V39" s="26"/>
      <c r="W39" s="26"/>
      <c r="X39" s="26"/>
      <c r="Y39" s="26"/>
      <c r="Z39" s="26"/>
      <c r="AA39" s="26"/>
      <c r="AB39" s="26"/>
      <c r="AC39" s="26"/>
      <c r="AD39" s="26"/>
      <c r="AF39" s="29" t="s">
        <v>57</v>
      </c>
      <c r="AG39" s="31">
        <v>0.2</v>
      </c>
    </row>
    <row r="40" spans="2:33">
      <c r="B40" t="s">
        <v>58</v>
      </c>
      <c r="D40" s="5"/>
      <c r="E40" s="5"/>
      <c r="G40" s="5"/>
      <c r="I40" s="5"/>
      <c r="K40" s="5"/>
      <c r="L40" s="12"/>
      <c r="M40" s="5"/>
      <c r="N40" s="5"/>
      <c r="O40" s="5"/>
      <c r="P40" s="5">
        <f>4162+8939</f>
        <v>13101</v>
      </c>
      <c r="AF40" s="29" t="s">
        <v>59</v>
      </c>
      <c r="AG40" s="32">
        <f>NPV(AG38,Y32:GO32)+Main!L5-Main!L6</f>
        <v>147738.77830059177</v>
      </c>
    </row>
    <row r="41" spans="2:33" s="1" customFormat="1">
      <c r="B41" s="1" t="s">
        <v>60</v>
      </c>
      <c r="C41" s="5">
        <f>6191+4458</f>
        <v>10649</v>
      </c>
      <c r="D41" s="5">
        <f>5962+3420</f>
        <v>9382</v>
      </c>
      <c r="E41" s="5">
        <f>6187+2954</f>
        <v>9141</v>
      </c>
      <c r="F41" s="5">
        <f t="shared" ref="C41:H41" si="18">4162+8939</f>
        <v>13101</v>
      </c>
      <c r="G41" s="5">
        <f>5459+4213</f>
        <v>9672</v>
      </c>
      <c r="H41" s="5">
        <f>5829+4220</f>
        <v>10049</v>
      </c>
      <c r="I41" s="5">
        <f>4889+3448</f>
        <v>8337</v>
      </c>
      <c r="J41" s="5">
        <f>4835+4448</f>
        <v>9283</v>
      </c>
      <c r="K41" s="5">
        <f>4717+4521</f>
        <v>9238</v>
      </c>
      <c r="L41" s="5">
        <f>4524+4584</f>
        <v>9108</v>
      </c>
      <c r="M41" s="5">
        <f>4611+5547</f>
        <v>10158</v>
      </c>
      <c r="N41" s="5">
        <f>4332+4724</f>
        <v>9056</v>
      </c>
      <c r="O41" s="5">
        <f>4416+4442</f>
        <v>8858</v>
      </c>
      <c r="P41" s="5">
        <f>4162+8939</f>
        <v>13101</v>
      </c>
      <c r="Y41" s="5">
        <f>2304*1.15</f>
        <v>2649.6</v>
      </c>
      <c r="AF41" s="39" t="s">
        <v>61</v>
      </c>
      <c r="AG41" s="32">
        <f>+AG40/Main!L3</f>
        <v>166.18535241911334</v>
      </c>
    </row>
    <row r="42" spans="2:33" s="1" customFormat="1">
      <c r="B42" s="1" t="s">
        <v>62</v>
      </c>
      <c r="C42" s="5">
        <f>124+5215</f>
        <v>5339</v>
      </c>
      <c r="D42" s="5">
        <f>89+4146</f>
        <v>4235</v>
      </c>
      <c r="E42" s="5">
        <f>75+4046</f>
        <v>4121</v>
      </c>
      <c r="F42" s="5">
        <f t="shared" ref="C42:H42" si="19">374+9685</f>
        <v>10059</v>
      </c>
      <c r="G42" s="5">
        <f>112+3152</f>
        <v>3264</v>
      </c>
      <c r="H42" s="5">
        <f>117+3313</f>
        <v>3430</v>
      </c>
      <c r="I42" s="5">
        <f>63+3704</f>
        <v>3767</v>
      </c>
      <c r="J42" s="5">
        <f>89+3495</f>
        <v>3584</v>
      </c>
      <c r="K42" s="5">
        <f>207+4303</f>
        <v>4510</v>
      </c>
      <c r="L42" s="5">
        <f>149+5040</f>
        <v>5189</v>
      </c>
      <c r="M42" s="5">
        <f>139+5546</f>
        <v>5685</v>
      </c>
      <c r="N42" s="5">
        <f>471+8239</f>
        <v>8710</v>
      </c>
      <c r="O42" s="5">
        <f>267+9167</f>
        <v>9434</v>
      </c>
      <c r="P42" s="5">
        <f>374+9685</f>
        <v>10059</v>
      </c>
      <c r="AF42" s="36" t="s">
        <v>63</v>
      </c>
      <c r="AG42" s="37">
        <f>+AG41/Main!L2-1</f>
        <v>0.13051260149056687</v>
      </c>
    </row>
    <row r="43" spans="2:33" s="1" customFormat="1">
      <c r="B43" s="1" t="s">
        <v>64</v>
      </c>
      <c r="C43" s="5">
        <v>0</v>
      </c>
      <c r="D43" s="5">
        <v>0</v>
      </c>
      <c r="E43" s="5">
        <v>139</v>
      </c>
      <c r="F43" s="5">
        <v>6159</v>
      </c>
      <c r="G43" s="5">
        <v>844</v>
      </c>
      <c r="H43" s="5">
        <v>960</v>
      </c>
      <c r="I43" s="5">
        <v>1204</v>
      </c>
      <c r="J43" s="5">
        <v>1602</v>
      </c>
      <c r="K43" s="5">
        <v>2107</v>
      </c>
      <c r="L43" s="5">
        <v>2217</v>
      </c>
      <c r="M43" s="5">
        <v>3704</v>
      </c>
      <c r="N43" s="5">
        <v>3236</v>
      </c>
      <c r="O43" s="5">
        <v>4114</v>
      </c>
      <c r="P43" s="5">
        <v>6159</v>
      </c>
    </row>
    <row r="44" spans="2:33" s="1" customFormat="1">
      <c r="B44" s="1" t="s">
        <v>65</v>
      </c>
      <c r="C44" s="5">
        <v>294</v>
      </c>
      <c r="D44" s="5">
        <v>289</v>
      </c>
      <c r="E44" s="5">
        <v>201</v>
      </c>
      <c r="F44" s="5">
        <v>720</v>
      </c>
      <c r="G44" s="5">
        <v>247</v>
      </c>
      <c r="H44" s="5">
        <v>223</v>
      </c>
      <c r="I44" s="5">
        <v>275</v>
      </c>
      <c r="J44" s="5">
        <v>338</v>
      </c>
      <c r="K44" s="5">
        <v>585</v>
      </c>
      <c r="L44" s="5">
        <v>551</v>
      </c>
      <c r="M44" s="5">
        <v>464</v>
      </c>
      <c r="N44" s="5">
        <v>489</v>
      </c>
      <c r="O44" s="5">
        <v>641</v>
      </c>
      <c r="P44" s="5">
        <v>720</v>
      </c>
    </row>
    <row r="45" spans="2:33" s="1" customFormat="1">
      <c r="B45" s="1" t="s">
        <v>66</v>
      </c>
      <c r="C45" s="5">
        <v>0</v>
      </c>
      <c r="D45" s="5">
        <v>8593</v>
      </c>
      <c r="E45" s="5">
        <v>9361</v>
      </c>
      <c r="F45" s="5"/>
      <c r="G45" s="5">
        <v>11489</v>
      </c>
      <c r="H45" s="5">
        <v>11503</v>
      </c>
      <c r="I45" s="5">
        <v>10183</v>
      </c>
      <c r="J45" s="5">
        <v>14708</v>
      </c>
      <c r="K45" s="5">
        <v>26223</v>
      </c>
      <c r="L45" s="5">
        <v>20643</v>
      </c>
      <c r="M45" s="5">
        <v>19456</v>
      </c>
      <c r="N45" s="5">
        <v>0</v>
      </c>
      <c r="O45" s="5">
        <v>0</v>
      </c>
      <c r="P45" s="5">
        <v>0</v>
      </c>
    </row>
    <row r="46" spans="2:33" s="1" customFormat="1">
      <c r="B46" s="1" t="s">
        <v>67</v>
      </c>
      <c r="C46" s="5">
        <v>1929</v>
      </c>
      <c r="D46" s="5">
        <v>1297</v>
      </c>
      <c r="E46" s="5">
        <v>1029</v>
      </c>
      <c r="F46" s="5">
        <v>3083</v>
      </c>
      <c r="G46" s="5">
        <v>1217</v>
      </c>
      <c r="H46" s="5">
        <v>1409</v>
      </c>
      <c r="I46" s="5">
        <v>1396</v>
      </c>
      <c r="J46" s="5">
        <v>1592</v>
      </c>
      <c r="K46" s="5">
        <v>1975</v>
      </c>
      <c r="L46" s="5">
        <v>2011</v>
      </c>
      <c r="M46" s="5">
        <v>2201</v>
      </c>
      <c r="N46" s="5">
        <v>2530</v>
      </c>
      <c r="O46" s="5">
        <v>2531</v>
      </c>
      <c r="P46" s="5">
        <v>3083</v>
      </c>
    </row>
    <row r="47" spans="2:33" s="1" customFormat="1">
      <c r="B47" s="1" t="s">
        <v>68</v>
      </c>
      <c r="C47" s="5">
        <v>40</v>
      </c>
      <c r="D47" s="5">
        <v>46</v>
      </c>
      <c r="E47" s="5">
        <v>32</v>
      </c>
      <c r="F47" s="5">
        <v>134</v>
      </c>
      <c r="G47" s="5">
        <v>290</v>
      </c>
      <c r="H47" s="5">
        <v>321</v>
      </c>
      <c r="I47" s="5">
        <v>372</v>
      </c>
      <c r="J47" s="5">
        <v>413</v>
      </c>
      <c r="K47" s="5">
        <v>495</v>
      </c>
      <c r="L47" s="5">
        <v>503</v>
      </c>
      <c r="M47" s="5">
        <v>527</v>
      </c>
      <c r="N47" s="5">
        <v>398</v>
      </c>
      <c r="O47" s="5">
        <v>192</v>
      </c>
      <c r="P47" s="5">
        <v>134</v>
      </c>
    </row>
    <row r="48" spans="2:33" s="1" customFormat="1">
      <c r="B48" s="1" t="s">
        <v>69</v>
      </c>
      <c r="C48" s="5">
        <v>75</v>
      </c>
      <c r="D48" s="5">
        <v>88</v>
      </c>
      <c r="E48" s="5">
        <v>80</v>
      </c>
      <c r="F48" s="5">
        <v>108</v>
      </c>
      <c r="G48" s="5">
        <v>90</v>
      </c>
      <c r="H48" s="5">
        <v>88</v>
      </c>
      <c r="I48" s="5">
        <v>75</v>
      </c>
      <c r="J48" s="5">
        <v>63</v>
      </c>
      <c r="K48" s="5">
        <v>64</v>
      </c>
      <c r="L48" s="5">
        <v>65</v>
      </c>
      <c r="M48" s="5">
        <v>86</v>
      </c>
      <c r="N48" s="5">
        <v>75</v>
      </c>
      <c r="O48" s="5">
        <v>89</v>
      </c>
      <c r="P48" s="5">
        <v>108</v>
      </c>
    </row>
    <row r="49" spans="2:25" s="1" customFormat="1">
      <c r="B49" s="1" t="s">
        <v>70</v>
      </c>
      <c r="C49" s="5">
        <v>0</v>
      </c>
      <c r="D49" s="5">
        <v>0</v>
      </c>
      <c r="E49" s="5">
        <v>0</v>
      </c>
      <c r="F49" s="5">
        <v>124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67</v>
      </c>
      <c r="M49" s="5">
        <v>73</v>
      </c>
      <c r="N49" s="5">
        <v>100</v>
      </c>
      <c r="O49" s="5">
        <v>113</v>
      </c>
      <c r="P49" s="5">
        <v>124</v>
      </c>
      <c r="Y49" s="1">
        <f>3184-180</f>
        <v>3004</v>
      </c>
    </row>
    <row r="50" spans="2:25" s="1" customFormat="1">
      <c r="B50" s="1" t="s">
        <v>71</v>
      </c>
      <c r="C50" s="5">
        <v>29</v>
      </c>
      <c r="D50" s="5">
        <v>115</v>
      </c>
      <c r="E50" s="5">
        <v>41</v>
      </c>
      <c r="F50" s="5">
        <v>345</v>
      </c>
      <c r="G50" s="5">
        <v>75</v>
      </c>
      <c r="H50" s="5">
        <v>123</v>
      </c>
      <c r="I50" s="5">
        <v>130</v>
      </c>
      <c r="J50" s="5">
        <v>207</v>
      </c>
      <c r="K50" s="5">
        <v>348</v>
      </c>
      <c r="L50" s="5">
        <v>352</v>
      </c>
      <c r="M50" s="5">
        <v>251</v>
      </c>
      <c r="N50" s="5">
        <v>509</v>
      </c>
      <c r="O50" s="5">
        <v>243</v>
      </c>
      <c r="P50" s="5">
        <v>345</v>
      </c>
    </row>
    <row r="51" spans="2:25" s="1" customFormat="1">
      <c r="B51" s="1" t="s">
        <v>72</v>
      </c>
      <c r="C51" s="5">
        <v>166</v>
      </c>
      <c r="D51" s="5">
        <v>170</v>
      </c>
      <c r="E51" s="5">
        <v>151</v>
      </c>
      <c r="F51" s="5">
        <v>149</v>
      </c>
      <c r="G51" s="5">
        <v>137</v>
      </c>
      <c r="H51" s="5">
        <v>131</v>
      </c>
      <c r="I51" s="5">
        <v>123</v>
      </c>
      <c r="J51" s="5">
        <v>120</v>
      </c>
      <c r="K51" s="5">
        <v>122</v>
      </c>
      <c r="L51" s="5">
        <v>123</v>
      </c>
      <c r="M51" s="5">
        <v>133</v>
      </c>
      <c r="N51" s="5">
        <v>139</v>
      </c>
      <c r="O51" s="5">
        <v>140</v>
      </c>
      <c r="P51" s="5">
        <v>149</v>
      </c>
    </row>
    <row r="52" spans="2:25" s="1" customFormat="1">
      <c r="B52" s="1" t="s">
        <v>73</v>
      </c>
      <c r="C52" s="5">
        <v>100</v>
      </c>
      <c r="D52" s="5">
        <v>100</v>
      </c>
      <c r="E52" s="5">
        <v>100</v>
      </c>
      <c r="F52" s="5">
        <v>383</v>
      </c>
      <c r="G52" s="5">
        <v>100</v>
      </c>
      <c r="H52" s="5">
        <v>100</v>
      </c>
      <c r="I52" s="5">
        <v>164</v>
      </c>
      <c r="J52" s="5">
        <v>175</v>
      </c>
      <c r="K52" s="5">
        <v>175</v>
      </c>
      <c r="L52" s="5">
        <v>179</v>
      </c>
      <c r="M52" s="5">
        <v>179</v>
      </c>
      <c r="N52" s="5">
        <v>179</v>
      </c>
      <c r="O52" s="5">
        <v>292</v>
      </c>
      <c r="P52" s="5">
        <v>383</v>
      </c>
    </row>
    <row r="53" spans="2:25" s="1" customFormat="1">
      <c r="B53" s="1" t="s">
        <v>74</v>
      </c>
      <c r="C53" s="5">
        <v>32</v>
      </c>
      <c r="D53" s="5">
        <v>30</v>
      </c>
      <c r="E53" s="5">
        <v>27</v>
      </c>
      <c r="F53" s="5">
        <v>191</v>
      </c>
      <c r="G53" s="5">
        <v>23</v>
      </c>
      <c r="H53" s="5">
        <v>21</v>
      </c>
      <c r="I53" s="5">
        <v>53</v>
      </c>
      <c r="J53" s="5">
        <v>48</v>
      </c>
      <c r="K53" s="5">
        <v>46</v>
      </c>
      <c r="L53" s="5">
        <v>45</v>
      </c>
      <c r="M53" s="5">
        <v>39</v>
      </c>
      <c r="N53" s="5">
        <v>38</v>
      </c>
      <c r="O53" s="5">
        <v>109</v>
      </c>
      <c r="P53" s="5">
        <v>191</v>
      </c>
    </row>
    <row r="54" spans="2:25" s="1" customFormat="1">
      <c r="B54" s="1" t="s">
        <v>75</v>
      </c>
      <c r="C54" s="5">
        <v>0</v>
      </c>
      <c r="D54" s="5">
        <v>0</v>
      </c>
      <c r="E54" s="5">
        <v>22</v>
      </c>
      <c r="F54" s="5"/>
      <c r="G54" s="5">
        <v>195</v>
      </c>
      <c r="H54" s="5">
        <v>165</v>
      </c>
      <c r="I54" s="5">
        <v>118</v>
      </c>
      <c r="J54" s="5">
        <v>73</v>
      </c>
      <c r="K54" s="5">
        <v>46</v>
      </c>
      <c r="L54" s="5">
        <v>2</v>
      </c>
      <c r="M54" s="5">
        <v>0</v>
      </c>
      <c r="N54" s="5">
        <v>0</v>
      </c>
      <c r="O54" s="5">
        <v>0</v>
      </c>
      <c r="P54" s="5">
        <v>0</v>
      </c>
    </row>
    <row r="55" spans="2:25" s="1" customFormat="1">
      <c r="B55" s="1" t="s">
        <v>76</v>
      </c>
      <c r="C55" s="5">
        <v>0</v>
      </c>
      <c r="D55" s="5">
        <v>0</v>
      </c>
      <c r="E55" s="5">
        <v>127</v>
      </c>
      <c r="F55" s="5">
        <v>267</v>
      </c>
      <c r="G55" s="5">
        <v>11</v>
      </c>
      <c r="H55" s="5">
        <v>6</v>
      </c>
      <c r="I55" s="5">
        <v>3</v>
      </c>
      <c r="J55" s="5">
        <v>4</v>
      </c>
      <c r="K55" s="5">
        <v>0</v>
      </c>
      <c r="L55" s="5">
        <v>159</v>
      </c>
      <c r="M55" s="5">
        <v>159</v>
      </c>
      <c r="N55" s="5">
        <v>195</v>
      </c>
      <c r="O55" s="5">
        <v>238</v>
      </c>
      <c r="P55" s="5">
        <v>267</v>
      </c>
    </row>
    <row r="56" spans="2:25" s="1" customFormat="1">
      <c r="B56" s="1" t="s">
        <v>77</v>
      </c>
      <c r="C56" s="5">
        <f>5+35+155+24</f>
        <v>219</v>
      </c>
      <c r="D56" s="5">
        <f>16+37+128+22</f>
        <v>203</v>
      </c>
      <c r="E56" s="5">
        <v>29</v>
      </c>
      <c r="F56" s="5">
        <v>501</v>
      </c>
      <c r="G56" s="5">
        <v>131</v>
      </c>
      <c r="H56" s="5">
        <v>131</v>
      </c>
      <c r="I56" s="5">
        <v>118</v>
      </c>
      <c r="J56" s="5">
        <v>122</v>
      </c>
      <c r="K56" s="5">
        <v>190</v>
      </c>
      <c r="L56" s="5">
        <v>132</v>
      </c>
      <c r="M56" s="5">
        <v>130</v>
      </c>
      <c r="N56" s="5">
        <v>533</v>
      </c>
      <c r="O56" s="5">
        <v>523</v>
      </c>
      <c r="P56" s="5">
        <v>501</v>
      </c>
    </row>
    <row r="57" spans="2:25" s="13" customFormat="1">
      <c r="B57" s="13" t="s">
        <v>78</v>
      </c>
      <c r="C57" s="14">
        <f t="shared" ref="C57:H57" si="20">SUM(C41:C56)</f>
        <v>18872</v>
      </c>
      <c r="D57" s="14">
        <f t="shared" si="20"/>
        <v>24548</v>
      </c>
      <c r="E57" s="14">
        <f t="shared" si="20"/>
        <v>24601</v>
      </c>
      <c r="F57" s="14">
        <f t="shared" si="20"/>
        <v>35324</v>
      </c>
      <c r="G57" s="14">
        <f t="shared" si="20"/>
        <v>27785</v>
      </c>
      <c r="H57" s="14">
        <f t="shared" si="20"/>
        <v>28660</v>
      </c>
      <c r="I57" s="14">
        <f>SUM(I41:I56)</f>
        <v>26318</v>
      </c>
      <c r="J57" s="14">
        <f>SUM(J41:J56)</f>
        <v>32332</v>
      </c>
      <c r="K57" s="14">
        <f>SUM(K41:K56)</f>
        <v>46124</v>
      </c>
      <c r="L57" s="14">
        <f>SUM(L41:L56)</f>
        <v>41346</v>
      </c>
      <c r="M57" s="14">
        <f>SUM(M41:M56)</f>
        <v>43245</v>
      </c>
      <c r="N57" s="14">
        <f>SUM(N41:N56)</f>
        <v>26187</v>
      </c>
      <c r="O57" s="14">
        <f>SUM(O41:O56)</f>
        <v>27517</v>
      </c>
      <c r="P57" s="14">
        <f>SUM(P41:P56)</f>
        <v>35324</v>
      </c>
    </row>
    <row r="58" spans="2:25" s="1" customFormat="1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2:25" s="1" customFormat="1">
      <c r="B59" s="1" t="s">
        <v>79</v>
      </c>
      <c r="C59" s="5">
        <v>249</v>
      </c>
      <c r="D59" s="5">
        <v>243</v>
      </c>
      <c r="E59" s="5">
        <v>203</v>
      </c>
      <c r="F59" s="5">
        <v>369</v>
      </c>
      <c r="G59" s="5">
        <v>203</v>
      </c>
      <c r="H59" s="5">
        <v>236</v>
      </c>
      <c r="I59" s="5">
        <v>373</v>
      </c>
      <c r="J59" s="5">
        <v>384</v>
      </c>
      <c r="K59" s="5">
        <v>351</v>
      </c>
      <c r="L59" s="5">
        <v>386</v>
      </c>
      <c r="M59" s="5">
        <v>443</v>
      </c>
      <c r="N59" s="5">
        <v>397</v>
      </c>
      <c r="O59" s="5">
        <v>319</v>
      </c>
      <c r="P59" s="5">
        <v>369</v>
      </c>
    </row>
    <row r="60" spans="2:25" s="1" customFormat="1">
      <c r="B60" s="1" t="s">
        <v>80</v>
      </c>
      <c r="C60" s="5">
        <v>7149</v>
      </c>
      <c r="D60" s="5">
        <v>5795</v>
      </c>
      <c r="E60" s="5">
        <v>5396</v>
      </c>
      <c r="F60" s="5">
        <v>10511</v>
      </c>
      <c r="G60" s="5">
        <v>4986</v>
      </c>
      <c r="H60" s="5">
        <v>5111</v>
      </c>
      <c r="I60" s="5">
        <v>4325</v>
      </c>
      <c r="J60" s="5">
        <v>5097</v>
      </c>
      <c r="K60" s="5">
        <v>6074</v>
      </c>
      <c r="L60" s="5">
        <v>5789</v>
      </c>
      <c r="M60" s="5">
        <v>6264</v>
      </c>
      <c r="N60" s="5">
        <v>7448</v>
      </c>
      <c r="O60" s="5">
        <v>7116</v>
      </c>
      <c r="P60" s="5">
        <v>10511</v>
      </c>
      <c r="R60" s="38"/>
    </row>
    <row r="61" spans="2:25" s="1" customFormat="1">
      <c r="B61" s="1" t="s">
        <v>81</v>
      </c>
      <c r="C61" s="5">
        <v>2151</v>
      </c>
      <c r="D61" s="5">
        <v>1367</v>
      </c>
      <c r="E61" s="5">
        <v>1423</v>
      </c>
      <c r="F61" s="5">
        <v>12640</v>
      </c>
      <c r="G61" s="5">
        <v>2609</v>
      </c>
      <c r="H61" s="5">
        <v>2982</v>
      </c>
      <c r="I61" s="5">
        <v>3245</v>
      </c>
      <c r="J61" s="5">
        <v>3547</v>
      </c>
      <c r="K61" s="5">
        <v>4215</v>
      </c>
      <c r="L61" s="5">
        <v>5091</v>
      </c>
      <c r="M61" s="5">
        <v>7306</v>
      </c>
      <c r="N61" s="5">
        <v>7463</v>
      </c>
      <c r="O61" s="5">
        <v>9098</v>
      </c>
      <c r="P61" s="5">
        <v>12640</v>
      </c>
    </row>
    <row r="62" spans="2:25" s="1" customFormat="1">
      <c r="B62" s="1" t="s">
        <v>82</v>
      </c>
      <c r="C62" s="5">
        <v>0</v>
      </c>
      <c r="D62" s="5">
        <v>8593</v>
      </c>
      <c r="E62" s="5">
        <v>9361</v>
      </c>
      <c r="F62" s="5"/>
      <c r="G62" s="5">
        <v>11489</v>
      </c>
      <c r="H62" s="5">
        <v>11503</v>
      </c>
      <c r="I62" s="5">
        <v>10183</v>
      </c>
      <c r="J62" s="5">
        <v>14708</v>
      </c>
      <c r="K62" s="5">
        <v>26223</v>
      </c>
      <c r="L62" s="5">
        <v>20643</v>
      </c>
      <c r="M62" s="5">
        <v>19456</v>
      </c>
      <c r="N62" s="5">
        <v>0</v>
      </c>
      <c r="O62" s="5"/>
      <c r="P62" s="5"/>
    </row>
    <row r="63" spans="2:25" s="1" customFormat="1">
      <c r="B63" s="1" t="s">
        <v>83</v>
      </c>
      <c r="C63" s="5">
        <v>1929</v>
      </c>
      <c r="D63" s="5">
        <v>1297</v>
      </c>
      <c r="E63" s="5">
        <v>1029</v>
      </c>
      <c r="F63" s="5">
        <v>3083</v>
      </c>
      <c r="G63" s="5">
        <v>1217</v>
      </c>
      <c r="H63" s="5">
        <v>1409</v>
      </c>
      <c r="I63" s="5">
        <v>1396</v>
      </c>
      <c r="J63" s="5">
        <v>1592</v>
      </c>
      <c r="K63" s="5">
        <v>1975</v>
      </c>
      <c r="L63" s="5">
        <v>2011</v>
      </c>
      <c r="M63" s="5">
        <v>2201</v>
      </c>
      <c r="N63" s="5">
        <v>2530</v>
      </c>
      <c r="O63" s="5">
        <v>2531</v>
      </c>
      <c r="P63" s="5">
        <v>3083</v>
      </c>
    </row>
    <row r="64" spans="2:25" s="1" customFormat="1">
      <c r="B64" s="1" t="s">
        <v>84</v>
      </c>
      <c r="C64" s="5">
        <f>23+80</f>
        <v>103</v>
      </c>
      <c r="D64" s="5">
        <f>22+82</f>
        <v>104</v>
      </c>
      <c r="E64" s="5">
        <f>22+75</f>
        <v>97</v>
      </c>
      <c r="F64" s="5">
        <v>519</v>
      </c>
      <c r="G64" s="5">
        <v>113</v>
      </c>
      <c r="H64" s="5">
        <v>115</v>
      </c>
      <c r="I64" s="5">
        <v>126</v>
      </c>
      <c r="J64" s="5">
        <v>217</v>
      </c>
      <c r="K64" s="5">
        <v>275</v>
      </c>
      <c r="L64" s="5">
        <v>220</v>
      </c>
      <c r="M64" s="5">
        <v>288</v>
      </c>
      <c r="N64" s="5">
        <v>266</v>
      </c>
      <c r="O64" s="5">
        <v>367</v>
      </c>
      <c r="P64" s="5">
        <v>519</v>
      </c>
    </row>
    <row r="65" spans="2:18" s="1" customFormat="1">
      <c r="B65" s="1" t="s">
        <v>85</v>
      </c>
      <c r="C65" s="5">
        <v>160</v>
      </c>
      <c r="D65" s="5">
        <v>132</v>
      </c>
      <c r="E65" s="5">
        <v>138</v>
      </c>
      <c r="F65" s="5">
        <v>130</v>
      </c>
      <c r="G65" s="5">
        <v>122</v>
      </c>
      <c r="H65" s="5">
        <v>117</v>
      </c>
      <c r="I65" s="5">
        <v>96</v>
      </c>
      <c r="J65" s="5">
        <v>91</v>
      </c>
      <c r="K65" s="5">
        <v>39113</v>
      </c>
      <c r="L65" s="5">
        <v>84</v>
      </c>
      <c r="M65" s="5">
        <v>79</v>
      </c>
      <c r="N65" s="5">
        <v>111</v>
      </c>
      <c r="O65" s="5">
        <v>133</v>
      </c>
      <c r="P65" s="5">
        <v>130</v>
      </c>
    </row>
    <row r="66" spans="2:18" s="13" customFormat="1">
      <c r="B66" s="13" t="s">
        <v>86</v>
      </c>
      <c r="C66" s="14">
        <f t="shared" ref="C66:H66" si="21">SUM(C59:C65)</f>
        <v>11741</v>
      </c>
      <c r="D66" s="14">
        <f t="shared" si="21"/>
        <v>17531</v>
      </c>
      <c r="E66" s="14">
        <f t="shared" si="21"/>
        <v>17647</v>
      </c>
      <c r="F66" s="14">
        <f t="shared" si="21"/>
        <v>27252</v>
      </c>
      <c r="G66" s="14">
        <f t="shared" si="21"/>
        <v>20739</v>
      </c>
      <c r="H66" s="14">
        <f t="shared" si="21"/>
        <v>21473</v>
      </c>
      <c r="I66" s="14">
        <f>SUM(I59:I65)</f>
        <v>19744</v>
      </c>
      <c r="J66" s="14">
        <f>SUM(J59:J65)</f>
        <v>25636</v>
      </c>
      <c r="K66" s="14">
        <f>SUM(K59:K65)</f>
        <v>78226</v>
      </c>
      <c r="L66" s="14">
        <f>SUM(L59:L65)</f>
        <v>34224</v>
      </c>
      <c r="M66" s="14">
        <f>SUM(M59:M65)</f>
        <v>36037</v>
      </c>
      <c r="N66" s="14">
        <f>SUM(N59:N65)</f>
        <v>18215</v>
      </c>
      <c r="O66" s="14">
        <f>SUM(O59:O65)</f>
        <v>19564</v>
      </c>
      <c r="P66" s="14">
        <f>SUM(P59:P65)</f>
        <v>27252</v>
      </c>
    </row>
    <row r="67" spans="2:18" s="13" customFormat="1">
      <c r="B67" s="13" t="s">
        <v>87</v>
      </c>
      <c r="C67" s="14">
        <f t="shared" ref="C67:H67" si="22">SUM(C59:C66)</f>
        <v>23482</v>
      </c>
      <c r="D67" s="14">
        <f t="shared" si="22"/>
        <v>35062</v>
      </c>
      <c r="E67" s="14">
        <f t="shared" si="22"/>
        <v>35294</v>
      </c>
      <c r="F67" s="14">
        <f t="shared" si="22"/>
        <v>54504</v>
      </c>
      <c r="G67" s="14">
        <f t="shared" si="22"/>
        <v>41478</v>
      </c>
      <c r="H67" s="14">
        <f t="shared" si="22"/>
        <v>42946</v>
      </c>
      <c r="I67" s="14">
        <f>SUM(I59:I66)</f>
        <v>39488</v>
      </c>
      <c r="J67" s="14">
        <f>SUM(J59:J66)</f>
        <v>51272</v>
      </c>
      <c r="K67" s="14">
        <f>SUM(K59:K66)</f>
        <v>156452</v>
      </c>
      <c r="L67" s="14">
        <f>SUM(L59:L66)</f>
        <v>68448</v>
      </c>
      <c r="M67" s="14">
        <f>SUM(M59:M66)</f>
        <v>72074</v>
      </c>
      <c r="N67" s="14">
        <f>SUM(N59:N66)</f>
        <v>36430</v>
      </c>
      <c r="O67" s="14">
        <f>SUM(O59:O66)</f>
        <v>39128</v>
      </c>
      <c r="P67" s="14">
        <f>SUM(P59:P66)</f>
        <v>54504</v>
      </c>
    </row>
    <row r="68" spans="2:18">
      <c r="C68" s="5"/>
      <c r="D68" s="5"/>
      <c r="E68" s="5"/>
      <c r="F68" s="5"/>
      <c r="G68" s="5"/>
      <c r="H68" s="5"/>
      <c r="I68" s="5"/>
      <c r="J68" s="5"/>
      <c r="K68" s="5"/>
      <c r="L68" s="12"/>
      <c r="M68" s="5"/>
      <c r="N68" s="5"/>
      <c r="O68" s="5"/>
      <c r="P68" s="5"/>
    </row>
    <row r="69" spans="2:18">
      <c r="B69" s="1" t="s">
        <v>88</v>
      </c>
      <c r="C69" s="5">
        <v>437</v>
      </c>
      <c r="D69" s="5">
        <v>826</v>
      </c>
      <c r="E69" s="5">
        <v>1033</v>
      </c>
      <c r="F69" s="5">
        <f>+E69+D69+C69-852</f>
        <v>1444</v>
      </c>
      <c r="G69" s="5">
        <v>828</v>
      </c>
      <c r="H69" s="5">
        <v>1198</v>
      </c>
      <c r="I69" s="5">
        <v>221</v>
      </c>
      <c r="J69" s="5">
        <v>1181</v>
      </c>
      <c r="K69" s="5">
        <v>623</v>
      </c>
      <c r="L69" s="18">
        <v>569</v>
      </c>
      <c r="M69" s="5">
        <v>1243</v>
      </c>
      <c r="N69" s="5">
        <v>157</v>
      </c>
      <c r="O69" s="5">
        <v>642</v>
      </c>
      <c r="P69" s="5">
        <v>4151</v>
      </c>
      <c r="R69" s="24"/>
    </row>
    <row r="70" spans="2:18">
      <c r="B70" s="1" t="s">
        <v>29</v>
      </c>
      <c r="C70" s="5">
        <v>1417</v>
      </c>
      <c r="D70" s="5">
        <v>2473</v>
      </c>
      <c r="E70" s="5">
        <v>2565</v>
      </c>
      <c r="F70" s="5">
        <f>+E70+D70+C70-3362</f>
        <v>3093</v>
      </c>
      <c r="G70" s="5">
        <v>57</v>
      </c>
      <c r="H70" s="5">
        <v>111</v>
      </c>
      <c r="I70" s="5">
        <v>502</v>
      </c>
      <c r="J70" s="5">
        <v>298</v>
      </c>
      <c r="K70" s="5">
        <v>796</v>
      </c>
      <c r="L70" s="18">
        <v>1538</v>
      </c>
      <c r="M70" s="5">
        <v>1971</v>
      </c>
      <c r="N70" s="5">
        <v>4592</v>
      </c>
      <c r="O70" s="5">
        <v>911</v>
      </c>
      <c r="P70" s="5">
        <v>1300</v>
      </c>
    </row>
    <row r="71" spans="2:18">
      <c r="B71" s="1" t="s">
        <v>89</v>
      </c>
      <c r="C71" s="5">
        <f t="shared" ref="C71:C73" si="23">+C69+C70</f>
        <v>1854</v>
      </c>
      <c r="D71" s="5">
        <f t="shared" ref="D71:D73" si="24">+D69+D70</f>
        <v>3299</v>
      </c>
      <c r="E71" s="5">
        <f t="shared" ref="E71:F73" si="25">+E69+E70</f>
        <v>3598</v>
      </c>
      <c r="F71" s="5">
        <f t="shared" si="25"/>
        <v>4537</v>
      </c>
      <c r="G71" s="5">
        <f t="shared" ref="G71:H73" si="26">+G69+G70</f>
        <v>885</v>
      </c>
      <c r="H71" s="5">
        <f t="shared" si="26"/>
        <v>1309</v>
      </c>
      <c r="I71" s="5">
        <f t="shared" ref="I71:J73" si="27">+I69+I70</f>
        <v>723</v>
      </c>
      <c r="J71" s="5">
        <f t="shared" si="27"/>
        <v>1479</v>
      </c>
      <c r="K71" s="5">
        <f t="shared" ref="G71:M73" si="28">+K69+K70</f>
        <v>1419</v>
      </c>
      <c r="L71" s="18">
        <f t="shared" si="28"/>
        <v>2107</v>
      </c>
      <c r="M71" s="5">
        <f t="shared" si="28"/>
        <v>3214</v>
      </c>
      <c r="N71" s="5">
        <f t="shared" ref="N71:N73" si="29">+N69+N70</f>
        <v>4749</v>
      </c>
      <c r="O71" s="5">
        <f t="shared" ref="O71:P73" si="30">+O69+O70</f>
        <v>1553</v>
      </c>
      <c r="P71" s="5">
        <f t="shared" si="30"/>
        <v>5451</v>
      </c>
    </row>
    <row r="72" spans="2:18">
      <c r="D72"/>
    </row>
    <row r="73" spans="2:18">
      <c r="B73" t="s">
        <v>88</v>
      </c>
      <c r="C73" s="5">
        <f t="shared" si="23"/>
        <v>1854</v>
      </c>
      <c r="D73" s="5">
        <f t="shared" si="24"/>
        <v>3299</v>
      </c>
      <c r="E73" s="5">
        <f t="shared" si="25"/>
        <v>3598</v>
      </c>
      <c r="G73" s="5">
        <f t="shared" si="26"/>
        <v>885</v>
      </c>
      <c r="H73" s="5">
        <f t="shared" si="26"/>
        <v>1309</v>
      </c>
      <c r="I73" s="5">
        <f t="shared" si="27"/>
        <v>723</v>
      </c>
      <c r="J73" s="5">
        <f t="shared" si="27"/>
        <v>1479</v>
      </c>
      <c r="K73" s="5">
        <f t="shared" si="28"/>
        <v>1419</v>
      </c>
      <c r="L73" s="18">
        <f t="shared" si="28"/>
        <v>2107</v>
      </c>
      <c r="M73" s="5">
        <f>+M71</f>
        <v>3214</v>
      </c>
      <c r="N73" s="5">
        <f t="shared" si="29"/>
        <v>4749</v>
      </c>
      <c r="O73" s="5">
        <f t="shared" si="30"/>
        <v>1553</v>
      </c>
      <c r="P73" s="5">
        <f t="shared" si="30"/>
        <v>5451</v>
      </c>
    </row>
    <row r="74" spans="2:18">
      <c r="B74" t="s">
        <v>90</v>
      </c>
      <c r="C74" s="2">
        <v>13</v>
      </c>
      <c r="D74" s="2">
        <v>19</v>
      </c>
      <c r="E74" s="2">
        <v>25</v>
      </c>
      <c r="G74" s="2">
        <v>0</v>
      </c>
      <c r="H74" s="2">
        <v>0</v>
      </c>
      <c r="I74" s="2">
        <v>1</v>
      </c>
      <c r="J74" s="2">
        <v>2</v>
      </c>
      <c r="K74" s="2">
        <v>2</v>
      </c>
      <c r="L74" s="2">
        <v>2</v>
      </c>
      <c r="M74" s="2">
        <v>9</v>
      </c>
      <c r="N74" s="2">
        <v>13</v>
      </c>
      <c r="O74">
        <v>2</v>
      </c>
      <c r="P74">
        <v>10</v>
      </c>
    </row>
    <row r="75" spans="2:18">
      <c r="B75" t="s">
        <v>91</v>
      </c>
      <c r="C75" s="5">
        <f>+C73-C74</f>
        <v>1841</v>
      </c>
      <c r="D75" s="5">
        <f>+D73-D74</f>
        <v>3280</v>
      </c>
      <c r="E75" s="5">
        <f>+E73-E74</f>
        <v>3573</v>
      </c>
      <c r="F75" s="1">
        <f>+F73-F74</f>
        <v>0</v>
      </c>
      <c r="G75" s="1">
        <f>+G73-G74</f>
        <v>885</v>
      </c>
      <c r="H75" s="1">
        <f>+H73-H74</f>
        <v>1309</v>
      </c>
      <c r="I75" s="1">
        <f>+I73-I74</f>
        <v>722</v>
      </c>
      <c r="J75" s="1">
        <f>+J73-J74</f>
        <v>1477</v>
      </c>
      <c r="K75" s="1">
        <f>+K73-K74</f>
        <v>1417</v>
      </c>
      <c r="L75" s="1">
        <f>+L73-L74</f>
        <v>2105</v>
      </c>
      <c r="M75" s="1">
        <f>+M73-M74</f>
        <v>3205</v>
      </c>
      <c r="N75" s="1">
        <f>+N73-N74</f>
        <v>4736</v>
      </c>
      <c r="O75" s="1">
        <f>+O73-O74</f>
        <v>1551</v>
      </c>
      <c r="P75" s="1">
        <f>+P73-P74</f>
        <v>5441</v>
      </c>
    </row>
    <row r="76" spans="2:18">
      <c r="K76" s="5"/>
    </row>
    <row r="77" spans="2:18">
      <c r="K77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72F8-161F-47D9-8993-6F0CD4B10CFA}">
  <dimension ref="A1:O2"/>
  <sheetViews>
    <sheetView workbookViewId="0">
      <selection activeCell="B2" sqref="B2"/>
    </sheetView>
  </sheetViews>
  <sheetFormatPr defaultRowHeight="12.75"/>
  <sheetData>
    <row r="1" spans="1:15"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12" t="s">
        <v>17</v>
      </c>
      <c r="J1" s="2" t="s">
        <v>18</v>
      </c>
      <c r="K1" s="2" t="s">
        <v>19</v>
      </c>
      <c r="L1" s="2" t="s">
        <v>20</v>
      </c>
      <c r="M1" s="12" t="s">
        <v>21</v>
      </c>
      <c r="N1" s="2" t="s">
        <v>22</v>
      </c>
      <c r="O1" s="2" t="s">
        <v>3</v>
      </c>
    </row>
    <row r="2" spans="1:15">
      <c r="A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A23F-CF23-49C6-AFEF-C2894782E58F}">
  <dimension ref="A1:G15"/>
  <sheetViews>
    <sheetView tabSelected="1" zoomScale="280" zoomScaleNormal="280" workbookViewId="0">
      <selection activeCell="C8" sqref="C8"/>
    </sheetView>
  </sheetViews>
  <sheetFormatPr defaultRowHeight="12.75"/>
  <cols>
    <col min="1" max="1" width="5" bestFit="1" customWidth="1"/>
  </cols>
  <sheetData>
    <row r="1" spans="1:7">
      <c r="A1" s="9" t="s">
        <v>9</v>
      </c>
      <c r="B1" t="s">
        <v>92</v>
      </c>
      <c r="C1" t="s">
        <v>93</v>
      </c>
      <c r="F1" s="2" t="s">
        <v>5</v>
      </c>
    </row>
    <row r="2" spans="1:7">
      <c r="B2" t="s">
        <v>94</v>
      </c>
      <c r="C2" s="1">
        <v>10760</v>
      </c>
      <c r="F2" s="1">
        <v>116000</v>
      </c>
      <c r="G2" s="10">
        <f>+F2/C2</f>
        <v>10.780669144981413</v>
      </c>
    </row>
    <row r="3" spans="1:7">
      <c r="B3" t="s">
        <v>95</v>
      </c>
      <c r="C3" s="1">
        <v>279</v>
      </c>
      <c r="D3" s="8">
        <f>+C3/C8</f>
        <v>1.1178780350989662E-2</v>
      </c>
      <c r="F3" s="1">
        <v>19000</v>
      </c>
      <c r="G3" s="10">
        <f>+F3/C3</f>
        <v>68.100358422939067</v>
      </c>
    </row>
    <row r="4" spans="1:7">
      <c r="B4" t="s">
        <v>96</v>
      </c>
      <c r="C4" s="1">
        <v>1355</v>
      </c>
      <c r="F4" s="1"/>
      <c r="G4" s="10"/>
    </row>
    <row r="5" spans="1:7">
      <c r="B5" t="s">
        <v>97</v>
      </c>
      <c r="C5" s="1">
        <v>11900</v>
      </c>
      <c r="F5" s="1"/>
      <c r="G5" s="10"/>
    </row>
    <row r="6" spans="1:7">
      <c r="B6" t="s">
        <v>98</v>
      </c>
      <c r="C6">
        <v>664</v>
      </c>
      <c r="F6" s="1">
        <v>14000</v>
      </c>
      <c r="G6" s="10">
        <f>+F6/C6</f>
        <v>21.08433734939759</v>
      </c>
    </row>
    <row r="7" spans="1:7">
      <c r="B7" t="s">
        <v>99</v>
      </c>
      <c r="C7">
        <v>30</v>
      </c>
      <c r="F7" s="1"/>
      <c r="G7" s="10"/>
    </row>
    <row r="8" spans="1:7">
      <c r="B8" t="s">
        <v>100</v>
      </c>
      <c r="C8" s="1">
        <f>SUM(C2:C6)</f>
        <v>24958</v>
      </c>
    </row>
    <row r="10" spans="1:7">
      <c r="B10" t="s">
        <v>101</v>
      </c>
      <c r="C10">
        <v>246</v>
      </c>
    </row>
    <row r="11" spans="1:7">
      <c r="B11" t="s">
        <v>102</v>
      </c>
      <c r="C11">
        <v>187</v>
      </c>
    </row>
    <row r="15" spans="1:7">
      <c r="F15" s="14">
        <v>279000</v>
      </c>
    </row>
  </sheetData>
  <hyperlinks>
    <hyperlink ref="A1" location="Main!A1" display="Main" xr:uid="{048F4088-CE91-46E9-941D-EA4BB62BB7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Shkreli</dc:creator>
  <cp:keywords/>
  <dc:description/>
  <cp:lastModifiedBy>Toth, Mr. Tim P.</cp:lastModifiedBy>
  <cp:revision/>
  <dcterms:created xsi:type="dcterms:W3CDTF">2024-09-22T17:37:00Z</dcterms:created>
  <dcterms:modified xsi:type="dcterms:W3CDTF">2025-11-04T16:16:15Z</dcterms:modified>
  <cp:category/>
  <cp:contentStatus/>
</cp:coreProperties>
</file>