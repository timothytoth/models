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50" documentId="11_0B1D56BE9CDCCE836B02CE7A5FB0D4A9BBFD1C62" xr6:coauthVersionLast="47" xr6:coauthVersionMax="47" xr10:uidLastSave="{D991A71E-A95E-43A5-A3B0-08D459B53C12}"/>
  <bookViews>
    <workbookView xWindow="240" yWindow="105" windowWidth="14805" windowHeight="8010" firstSheet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7" i="1"/>
  <c r="J20" i="2"/>
  <c r="J10" i="2"/>
  <c r="J7" i="2"/>
  <c r="J6" i="2"/>
  <c r="J37" i="2"/>
  <c r="J38" i="2" s="1"/>
  <c r="J28" i="2"/>
  <c r="J17" i="2"/>
  <c r="J8" i="2"/>
  <c r="J5" i="2"/>
  <c r="J9" i="2" s="1"/>
  <c r="J11" i="2" s="1"/>
  <c r="J13" i="2" s="1"/>
  <c r="J14" i="2" s="1"/>
  <c r="I5" i="2"/>
  <c r="J4" i="2"/>
  <c r="J3" i="2"/>
  <c r="K17" i="2"/>
  <c r="I17" i="2"/>
  <c r="H17" i="2"/>
  <c r="G17" i="2"/>
  <c r="L17" i="2"/>
  <c r="G20" i="2"/>
  <c r="G37" i="2"/>
  <c r="G38" i="2" s="1"/>
  <c r="G28" i="2"/>
  <c r="G8" i="2"/>
  <c r="G5" i="2"/>
  <c r="G9" i="2" s="1"/>
  <c r="G11" i="2" s="1"/>
  <c r="G13" i="2" s="1"/>
  <c r="G14" i="2" s="1"/>
  <c r="H20" i="2"/>
  <c r="H37" i="2"/>
  <c r="H38" i="2" s="1"/>
  <c r="H28" i="2"/>
  <c r="H8" i="2"/>
  <c r="H5" i="2"/>
  <c r="H9" i="2" s="1"/>
  <c r="H11" i="2" s="1"/>
  <c r="H13" i="2" s="1"/>
  <c r="H14" i="2" s="1"/>
  <c r="I20" i="2"/>
  <c r="I37" i="2"/>
  <c r="I38" i="2" s="1"/>
  <c r="I28" i="2"/>
  <c r="I8" i="2"/>
  <c r="I9" i="2"/>
  <c r="I11" i="2" s="1"/>
  <c r="I13" i="2" s="1"/>
  <c r="I14" i="2" s="1"/>
  <c r="K20" i="2"/>
  <c r="K37" i="2"/>
  <c r="K38" i="2" s="1"/>
  <c r="K28" i="2"/>
  <c r="K8" i="2"/>
  <c r="K5" i="2"/>
  <c r="K9" i="2" s="1"/>
  <c r="K11" i="2" s="1"/>
  <c r="K13" i="2" s="1"/>
  <c r="K14" i="2" s="1"/>
  <c r="L38" i="2"/>
  <c r="L37" i="2"/>
  <c r="L28" i="2"/>
  <c r="L20" i="2"/>
  <c r="L13" i="2"/>
  <c r="L14" i="2" s="1"/>
  <c r="L11" i="2"/>
  <c r="L8" i="2"/>
  <c r="L5" i="2"/>
  <c r="J6" i="1"/>
  <c r="L9" i="2" l="1"/>
</calcChain>
</file>

<file path=xl/sharedStrings.xml><?xml version="1.0" encoding="utf-8"?>
<sst xmlns="http://schemas.openxmlformats.org/spreadsheetml/2006/main" count="53" uniqueCount="53">
  <si>
    <t>rgti</t>
  </si>
  <si>
    <t>price</t>
  </si>
  <si>
    <t>shares</t>
  </si>
  <si>
    <t>mc</t>
  </si>
  <si>
    <t>nov 11 q3 release</t>
  </si>
  <si>
    <t>cash</t>
  </si>
  <si>
    <t>debt</t>
  </si>
  <si>
    <t>ev</t>
  </si>
  <si>
    <t>short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</si>
  <si>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</si>
  <si>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</si>
  <si>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</si>
  <si>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</si>
  <si>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</si>
  <si>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</si>
  <si>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</si>
  <si>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</si>
  <si>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</si>
  <si>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</si>
  <si>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</si>
  <si>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revenue</t>
  </si>
  <si>
    <t>cogs</t>
  </si>
  <si>
    <t>gross profit</t>
  </si>
  <si>
    <t>r&amp;d</t>
  </si>
  <si>
    <t>sga</t>
  </si>
  <si>
    <t>operating expenses</t>
  </si>
  <si>
    <t>operating income</t>
  </si>
  <si>
    <t>interest income</t>
  </si>
  <si>
    <t>pretax</t>
  </si>
  <si>
    <t>taxes</t>
  </si>
  <si>
    <t xml:space="preserve">net income </t>
  </si>
  <si>
    <t>eps</t>
  </si>
  <si>
    <t xml:space="preserve">shares </t>
  </si>
  <si>
    <t>rev y/y</t>
  </si>
  <si>
    <t>gross margin y/y</t>
  </si>
  <si>
    <t>cash and cash equilivants</t>
  </si>
  <si>
    <t>ar</t>
  </si>
  <si>
    <t>prepaid</t>
  </si>
  <si>
    <t>ocl</t>
  </si>
  <si>
    <t>long term investments</t>
  </si>
  <si>
    <t>ppe</t>
  </si>
  <si>
    <t>rou</t>
  </si>
  <si>
    <t>other</t>
  </si>
  <si>
    <t>assets</t>
  </si>
  <si>
    <t>ap</t>
  </si>
  <si>
    <t>accrued expenses</t>
  </si>
  <si>
    <t>dr</t>
  </si>
  <si>
    <t>operating lease liabilities</t>
  </si>
  <si>
    <t>nc dr</t>
  </si>
  <si>
    <t>nc operating lease</t>
  </si>
  <si>
    <t>warrant liabilities</t>
  </si>
  <si>
    <t>Se</t>
  </si>
  <si>
    <t>L +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</si>
</sst>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4D2F00"/>
      <name val="-Apple-System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9" fontId="0" fillId="0" borderId="0" xfId="0" applyNumberForma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12"/>
  <sheetViews>
    <sheetView tabSelected="1" topLeftCell="B1" workbookViewId="0">
      <selection activeCell="E8" sqref="E8"/>
    </sheetView>
  </sheetViews>
  <sheetFormatPr defaultRowHeight="15"/>
  <cols>
    <col min="10" max="10" width="9.28515625" bestFit="1" customWidth="1"/>
  </cols>
  <sheetData>
    <row r="3" spans="3:10">
      <c r="C3" s="1" t="s">
        <v>0</v>
      </c>
    </row>
    <row r="4" spans="3:10">
      <c r="I4" t="s">
        <v>1</v>
      </c>
      <c r="J4" s="3">
        <v>41</v>
      </c>
    </row>
    <row r="5" spans="3:10">
      <c r="I5" t="s">
        <v>2</v>
      </c>
      <c r="J5" s="3">
        <v>324</v>
      </c>
    </row>
    <row r="6" spans="3:10">
      <c r="I6" t="s">
        <v>3</v>
      </c>
      <c r="J6" s="3">
        <f>+J4*J5</f>
        <v>13284</v>
      </c>
    </row>
    <row r="7" spans="3:10">
      <c r="E7" t="s">
        <v>4</v>
      </c>
      <c r="I7" t="s">
        <v>5</v>
      </c>
      <c r="J7" s="3">
        <f>57+369</f>
        <v>426</v>
      </c>
    </row>
    <row r="8" spans="3:10">
      <c r="I8" t="s">
        <v>6</v>
      </c>
      <c r="J8" s="3">
        <v>0</v>
      </c>
    </row>
    <row r="9" spans="3:10">
      <c r="I9" t="s">
        <v>7</v>
      </c>
      <c r="J9" s="3">
        <f>J6-J7</f>
        <v>12858</v>
      </c>
    </row>
    <row r="12" spans="3:10">
      <c r="I1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6851-A63B-487B-8690-0D9840CA3B26}">
  <dimension ref="B2:M38"/>
  <sheetViews>
    <sheetView workbookViewId="0">
      <pane xSplit="2" ySplit="2" topLeftCell="G20" activePane="bottomRight" state="frozen"/>
      <selection pane="bottomRight" activeCell="B34" sqref="B34"/>
      <selection pane="bottomLeft"/>
      <selection pane="topRight"/>
    </sheetView>
  </sheetViews>
  <sheetFormatPr defaultRowHeight="15"/>
  <cols>
    <col min="11" max="12" width="11" bestFit="1" customWidth="1"/>
    <col min="13" max="13" width="10" bestFit="1" customWidth="1"/>
  </cols>
  <sheetData>
    <row r="2" spans="2:13"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2:13" s="5" customFormat="1">
      <c r="B3" s="5" t="s">
        <v>20</v>
      </c>
      <c r="G3" s="6">
        <v>3052</v>
      </c>
      <c r="H3" s="6">
        <v>3086</v>
      </c>
      <c r="I3" s="6">
        <v>2378</v>
      </c>
      <c r="J3" s="6">
        <f>10790-G3-H3-I3</f>
        <v>2274</v>
      </c>
      <c r="K3" s="6">
        <v>1472</v>
      </c>
      <c r="L3" s="6">
        <v>1801</v>
      </c>
    </row>
    <row r="4" spans="2:13">
      <c r="B4" t="s">
        <v>21</v>
      </c>
      <c r="G4" s="3">
        <v>1552</v>
      </c>
      <c r="H4" s="3">
        <v>1096</v>
      </c>
      <c r="I4" s="3">
        <v>1174</v>
      </c>
      <c r="J4" s="3">
        <f>5093-G4-H4-I4</f>
        <v>1271</v>
      </c>
      <c r="K4" s="3">
        <v>1030</v>
      </c>
      <c r="L4" s="3">
        <v>1235</v>
      </c>
    </row>
    <row r="5" spans="2:13" s="5" customFormat="1">
      <c r="B5" s="5" t="s">
        <v>22</v>
      </c>
      <c r="G5" s="6">
        <f>+G3-G4</f>
        <v>1500</v>
      </c>
      <c r="H5" s="6">
        <f>+H3-H4</f>
        <v>1990</v>
      </c>
      <c r="I5" s="6">
        <f>+I3-I4</f>
        <v>1204</v>
      </c>
      <c r="J5" s="6">
        <f>+J3-J4</f>
        <v>1003</v>
      </c>
      <c r="K5" s="6">
        <f>+K3-K4</f>
        <v>442</v>
      </c>
      <c r="L5" s="6">
        <f>+L3-L4</f>
        <v>566</v>
      </c>
    </row>
    <row r="6" spans="2:13">
      <c r="B6" t="s">
        <v>23</v>
      </c>
      <c r="G6" s="3">
        <v>11471</v>
      </c>
      <c r="H6" s="3">
        <v>11870</v>
      </c>
      <c r="I6" s="3">
        <v>12752</v>
      </c>
      <c r="J6" s="3">
        <f>49750-G6-H6-I6</f>
        <v>13657</v>
      </c>
      <c r="K6" s="3">
        <v>15455</v>
      </c>
      <c r="L6" s="3">
        <v>13522</v>
      </c>
    </row>
    <row r="7" spans="2:13">
      <c r="B7" t="s">
        <v>24</v>
      </c>
      <c r="G7" s="3">
        <v>6614</v>
      </c>
      <c r="H7" s="3">
        <v>6205</v>
      </c>
      <c r="I7" s="3">
        <v>5798</v>
      </c>
      <c r="J7" s="3">
        <f>24457-G7-H7-I7</f>
        <v>5840</v>
      </c>
      <c r="K7" s="3">
        <v>6619</v>
      </c>
      <c r="L7" s="3">
        <v>6926</v>
      </c>
    </row>
    <row r="8" spans="2:13" s="5" customFormat="1">
      <c r="B8" s="5" t="s">
        <v>25</v>
      </c>
      <c r="G8" s="6">
        <f>SUM(G6:G7)</f>
        <v>18085</v>
      </c>
      <c r="H8" s="6">
        <f>SUM(H6:H7)</f>
        <v>18075</v>
      </c>
      <c r="I8" s="6">
        <f>SUM(I6:I7)</f>
        <v>18550</v>
      </c>
      <c r="J8" s="6">
        <f>SUM(J6:J7)</f>
        <v>19497</v>
      </c>
      <c r="K8" s="6">
        <f>SUM(K6:K7)</f>
        <v>22074</v>
      </c>
      <c r="L8" s="6">
        <f>SUM(L6:L7)</f>
        <v>20448</v>
      </c>
    </row>
    <row r="9" spans="2:13" s="5" customFormat="1">
      <c r="B9" s="5" t="s">
        <v>26</v>
      </c>
      <c r="G9" s="6">
        <f>+G5-G8</f>
        <v>-16585</v>
      </c>
      <c r="H9" s="6">
        <f>+H5-H8</f>
        <v>-16085</v>
      </c>
      <c r="I9" s="6">
        <f>+I5-I8</f>
        <v>-17346</v>
      </c>
      <c r="J9" s="6">
        <f>+J5-J8</f>
        <v>-18494</v>
      </c>
      <c r="K9" s="6">
        <f>+K5-K8</f>
        <v>-21632</v>
      </c>
      <c r="L9" s="6">
        <f>+L5-L8</f>
        <v>-19882</v>
      </c>
    </row>
    <row r="10" spans="2:13">
      <c r="B10" t="s">
        <v>27</v>
      </c>
      <c r="G10" s="3">
        <v>-1123</v>
      </c>
      <c r="H10">
        <v>-1218</v>
      </c>
      <c r="I10" s="3">
        <v>-1226</v>
      </c>
      <c r="J10" s="3">
        <f>-5113-G10-H10-I10</f>
        <v>-1546</v>
      </c>
      <c r="K10" s="3">
        <v>-2152</v>
      </c>
      <c r="L10">
        <v>-3042</v>
      </c>
    </row>
    <row r="11" spans="2:13">
      <c r="B11" t="s">
        <v>28</v>
      </c>
      <c r="G11" s="3">
        <f>+G9-G10</f>
        <v>-15462</v>
      </c>
      <c r="H11" s="3">
        <f>+H9-H10</f>
        <v>-14867</v>
      </c>
      <c r="I11" s="3">
        <f>+I9-I10</f>
        <v>-16120</v>
      </c>
      <c r="J11" s="3">
        <f>+J9-J10</f>
        <v>-16948</v>
      </c>
      <c r="K11" s="3">
        <f>+K9-K10</f>
        <v>-19480</v>
      </c>
      <c r="L11" s="3">
        <f>+L9-L10</f>
        <v>-16840</v>
      </c>
    </row>
    <row r="12" spans="2:13">
      <c r="B12" t="s">
        <v>29</v>
      </c>
      <c r="G12" s="3">
        <v>20773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2:13" s="5" customFormat="1">
      <c r="B13" s="5" t="s">
        <v>30</v>
      </c>
      <c r="G13" s="6">
        <f>+G11-G12</f>
        <v>-36235</v>
      </c>
      <c r="H13" s="6">
        <f>+H11-H12</f>
        <v>-14867</v>
      </c>
      <c r="I13" s="6">
        <f>+I11-I12</f>
        <v>-16120</v>
      </c>
      <c r="J13" s="6">
        <f>+J11-J12</f>
        <v>-16948</v>
      </c>
      <c r="K13" s="6">
        <f>+K11-K12</f>
        <v>-19480</v>
      </c>
      <c r="L13" s="6">
        <f>+L11-L12</f>
        <v>-16840</v>
      </c>
    </row>
    <row r="14" spans="2:13" s="5" customFormat="1">
      <c r="B14" s="5" t="s">
        <v>31</v>
      </c>
      <c r="G14" s="7">
        <f>+G13/G15</f>
        <v>-0.23861578479470547</v>
      </c>
      <c r="H14" s="7">
        <f>+H13/H15</f>
        <v>-8.6484819927517262E-2</v>
      </c>
      <c r="I14" s="7">
        <f>+I13/I15</f>
        <v>-8.5567628683203376E-2</v>
      </c>
      <c r="J14" s="7">
        <f>+J13/J15</f>
        <v>-9.1776504608319889E-2</v>
      </c>
      <c r="K14" s="7">
        <f>+K13/K15</f>
        <v>-6.4589930204413198E-2</v>
      </c>
      <c r="L14" s="7">
        <f>+L13/L15</f>
        <v>-5.6461941834811936E-2</v>
      </c>
    </row>
    <row r="15" spans="2:13">
      <c r="B15" t="s">
        <v>32</v>
      </c>
      <c r="G15" s="3">
        <v>151855</v>
      </c>
      <c r="H15" s="3">
        <v>171903</v>
      </c>
      <c r="I15" s="3">
        <v>188389</v>
      </c>
      <c r="J15" s="3">
        <v>184666</v>
      </c>
      <c r="K15" s="3">
        <v>301595</v>
      </c>
      <c r="L15" s="3">
        <v>298254</v>
      </c>
    </row>
    <row r="17" spans="2:12">
      <c r="B17" t="s">
        <v>33</v>
      </c>
      <c r="G17" s="4" t="e">
        <f t="shared" ref="G17:K17" si="0">+G3/C3-1</f>
        <v>#DIV/0!</v>
      </c>
      <c r="H17" s="4" t="e">
        <f t="shared" si="0"/>
        <v>#DIV/0!</v>
      </c>
      <c r="I17" s="4" t="e">
        <f t="shared" si="0"/>
        <v>#DIV/0!</v>
      </c>
      <c r="J17" s="4" t="e">
        <f t="shared" si="0"/>
        <v>#DIV/0!</v>
      </c>
      <c r="K17" s="4">
        <f t="shared" si="0"/>
        <v>-0.51769331585845346</v>
      </c>
      <c r="L17" s="4">
        <f>+L3/H3-1</f>
        <v>-0.41639662994167204</v>
      </c>
    </row>
    <row r="18" spans="2:12">
      <c r="B18" t="s">
        <v>34</v>
      </c>
    </row>
    <row r="20" spans="2:12">
      <c r="B20" t="s">
        <v>35</v>
      </c>
      <c r="G20">
        <f>35+68</f>
        <v>103</v>
      </c>
      <c r="H20">
        <f>21+80</f>
        <v>101</v>
      </c>
      <c r="I20">
        <f>20+72</f>
        <v>92</v>
      </c>
      <c r="J20">
        <f>68+124</f>
        <v>192</v>
      </c>
      <c r="K20">
        <f>37+172</f>
        <v>209</v>
      </c>
      <c r="L20">
        <f>57+369</f>
        <v>426</v>
      </c>
    </row>
    <row r="21" spans="2:12">
      <c r="B21" t="s">
        <v>36</v>
      </c>
      <c r="G21">
        <v>5</v>
      </c>
      <c r="H21">
        <v>5</v>
      </c>
      <c r="I21">
        <v>6</v>
      </c>
      <c r="J21">
        <v>2</v>
      </c>
      <c r="K21">
        <v>1</v>
      </c>
      <c r="L21">
        <v>2</v>
      </c>
    </row>
    <row r="22" spans="2:12">
      <c r="B22" t="s">
        <v>37</v>
      </c>
      <c r="G22">
        <v>3</v>
      </c>
      <c r="H22">
        <v>4</v>
      </c>
      <c r="I22">
        <v>5</v>
      </c>
      <c r="J22">
        <v>3</v>
      </c>
      <c r="K22">
        <v>2</v>
      </c>
      <c r="L22">
        <v>3</v>
      </c>
    </row>
    <row r="23" spans="2:12">
      <c r="B23" t="s">
        <v>38</v>
      </c>
      <c r="G23">
        <v>0</v>
      </c>
      <c r="H23">
        <v>0</v>
      </c>
      <c r="I23">
        <v>0</v>
      </c>
      <c r="J23">
        <v>9</v>
      </c>
      <c r="K23">
        <v>2</v>
      </c>
      <c r="L23">
        <v>3</v>
      </c>
    </row>
    <row r="24" spans="2:12">
      <c r="B24" t="s">
        <v>39</v>
      </c>
      <c r="G24">
        <v>0</v>
      </c>
      <c r="H24">
        <v>0</v>
      </c>
      <c r="I24">
        <v>0</v>
      </c>
      <c r="J24">
        <v>25</v>
      </c>
      <c r="K24">
        <v>0</v>
      </c>
      <c r="L24">
        <v>146</v>
      </c>
    </row>
    <row r="25" spans="2:12">
      <c r="B25" t="s">
        <v>40</v>
      </c>
      <c r="G25">
        <v>45</v>
      </c>
      <c r="H25">
        <v>46</v>
      </c>
      <c r="I25">
        <v>45</v>
      </c>
      <c r="J25">
        <v>45</v>
      </c>
      <c r="K25">
        <v>46</v>
      </c>
      <c r="L25">
        <v>49</v>
      </c>
    </row>
    <row r="26" spans="2:12">
      <c r="B26" t="s">
        <v>41</v>
      </c>
      <c r="G26">
        <v>7</v>
      </c>
      <c r="H26">
        <v>9</v>
      </c>
      <c r="I26">
        <v>8</v>
      </c>
      <c r="J26">
        <v>8</v>
      </c>
      <c r="K26">
        <v>8</v>
      </c>
      <c r="L26">
        <v>7</v>
      </c>
    </row>
    <row r="27" spans="2:12">
      <c r="B27" t="s">
        <v>42</v>
      </c>
      <c r="G27">
        <v>0.2</v>
      </c>
      <c r="H27">
        <v>0.24</v>
      </c>
      <c r="I27">
        <v>0.1</v>
      </c>
      <c r="J27">
        <v>0.3</v>
      </c>
      <c r="K27">
        <v>1</v>
      </c>
      <c r="L27">
        <v>1</v>
      </c>
    </row>
    <row r="28" spans="2:12" s="5" customFormat="1">
      <c r="B28" s="5" t="s">
        <v>43</v>
      </c>
      <c r="G28" s="5">
        <f>SUM(G20:G27)</f>
        <v>163.19999999999999</v>
      </c>
      <c r="H28" s="5">
        <f>SUM(H20:H27)</f>
        <v>165.24</v>
      </c>
      <c r="I28" s="5">
        <f>SUM(I20:I27)</f>
        <v>156.1</v>
      </c>
      <c r="J28" s="5">
        <f>SUM(J20:J27)</f>
        <v>284.3</v>
      </c>
      <c r="K28" s="5">
        <f>SUM(K20:K27)</f>
        <v>269</v>
      </c>
      <c r="L28" s="5">
        <f>SUM(L20:L27)</f>
        <v>637</v>
      </c>
    </row>
    <row r="30" spans="2:12">
      <c r="B30" t="s">
        <v>44</v>
      </c>
      <c r="G30">
        <v>4</v>
      </c>
      <c r="H30">
        <v>2</v>
      </c>
      <c r="I30">
        <v>2</v>
      </c>
      <c r="J30">
        <v>2</v>
      </c>
      <c r="K30">
        <v>3</v>
      </c>
      <c r="L30">
        <v>2</v>
      </c>
    </row>
    <row r="31" spans="2:12">
      <c r="B31" t="s">
        <v>45</v>
      </c>
      <c r="G31">
        <v>6</v>
      </c>
      <c r="H31">
        <v>8</v>
      </c>
      <c r="I31">
        <v>4</v>
      </c>
      <c r="J31">
        <v>8</v>
      </c>
      <c r="K31">
        <v>6</v>
      </c>
      <c r="L31">
        <v>6</v>
      </c>
    </row>
    <row r="32" spans="2:12">
      <c r="B32" t="s">
        <v>46</v>
      </c>
      <c r="G32">
        <v>0.1</v>
      </c>
      <c r="H32">
        <v>1</v>
      </c>
      <c r="I32">
        <v>1</v>
      </c>
      <c r="J32">
        <v>0.1</v>
      </c>
      <c r="K32">
        <v>0.1</v>
      </c>
      <c r="L32">
        <v>0.1</v>
      </c>
    </row>
    <row r="33" spans="2:12">
      <c r="B33" t="s">
        <v>47</v>
      </c>
      <c r="G33">
        <v>13</v>
      </c>
      <c r="H33">
        <v>13</v>
      </c>
      <c r="I33">
        <v>11</v>
      </c>
      <c r="J33">
        <v>2</v>
      </c>
      <c r="K33">
        <v>2</v>
      </c>
      <c r="L33">
        <v>2</v>
      </c>
    </row>
    <row r="34" spans="2:12">
      <c r="B34" t="s">
        <v>48</v>
      </c>
      <c r="G34">
        <v>7</v>
      </c>
      <c r="H34">
        <v>1</v>
      </c>
      <c r="I34">
        <v>2</v>
      </c>
      <c r="J34">
        <v>1</v>
      </c>
      <c r="K34">
        <v>1</v>
      </c>
      <c r="L34">
        <v>1</v>
      </c>
    </row>
    <row r="35" spans="2:12">
      <c r="B35" t="s">
        <v>49</v>
      </c>
      <c r="G35">
        <v>6</v>
      </c>
      <c r="H35">
        <v>6</v>
      </c>
      <c r="I35">
        <v>7</v>
      </c>
      <c r="J35">
        <v>7</v>
      </c>
      <c r="K35">
        <v>6</v>
      </c>
      <c r="L35">
        <v>6</v>
      </c>
    </row>
    <row r="36" spans="2:12">
      <c r="B36" t="s">
        <v>50</v>
      </c>
      <c r="G36">
        <v>6</v>
      </c>
      <c r="H36">
        <v>3</v>
      </c>
      <c r="I36">
        <v>2</v>
      </c>
      <c r="J36">
        <v>93</v>
      </c>
      <c r="K36">
        <v>40</v>
      </c>
      <c r="L36">
        <v>60</v>
      </c>
    </row>
    <row r="37" spans="2:12" s="5" customFormat="1">
      <c r="B37" s="5" t="s">
        <v>51</v>
      </c>
      <c r="G37" s="5">
        <f>SUM(G30:G36)</f>
        <v>42.1</v>
      </c>
      <c r="H37" s="5">
        <f>SUM(H30:H36)</f>
        <v>34</v>
      </c>
      <c r="I37" s="5">
        <f>SUM(I30:I36)</f>
        <v>29</v>
      </c>
      <c r="J37" s="5">
        <f>SUM(J30:J36)</f>
        <v>113.1</v>
      </c>
      <c r="K37" s="5">
        <f>SUM(K30:K36)</f>
        <v>58.1</v>
      </c>
      <c r="L37" s="5">
        <f>SUM(L30:L36)</f>
        <v>77.099999999999994</v>
      </c>
    </row>
    <row r="38" spans="2:12" s="5" customFormat="1">
      <c r="B38" s="5" t="s">
        <v>52</v>
      </c>
      <c r="G38" s="5">
        <f>SUM(G30:G37)</f>
        <v>84.2</v>
      </c>
      <c r="H38" s="5">
        <f>SUM(H30:H37)</f>
        <v>68</v>
      </c>
      <c r="I38" s="5">
        <f>SUM(I30:I37)</f>
        <v>58</v>
      </c>
      <c r="J38" s="5">
        <f>SUM(J30:J37)</f>
        <v>226.2</v>
      </c>
      <c r="K38" s="5">
        <f>SUM(K30:K37)</f>
        <v>116.2</v>
      </c>
      <c r="L38" s="5">
        <f>SUM(L30:L37)</f>
        <v>154.19999999999999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2025-10-30T17:30:36Z</dcterms:created>
  <dcterms:modified xsi:type="dcterms:W3CDTF">2025-11-04T04:18:31Z</dcterms:modified>
  <cp:category/>
  <cp:contentStatus/>
</cp:coreProperties>
</file>