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383" documentId="11_0B1D56BE9CDCCE836B02CE7A5FB0D4A9BBFD1C62" xr6:coauthVersionLast="47" xr6:coauthVersionMax="47" xr10:uidLastSave="{A1728267-6DD1-4734-A8BE-6874F64ABA6F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R13" i="2"/>
  <c r="R12" i="2"/>
  <c r="R10" i="2"/>
  <c r="R9" i="2"/>
  <c r="R43" i="2"/>
  <c r="R44" i="2" s="1"/>
  <c r="R32" i="2"/>
  <c r="O43" i="2"/>
  <c r="O44" i="2" s="1"/>
  <c r="O32" i="2"/>
  <c r="O9" i="2"/>
  <c r="P43" i="2"/>
  <c r="P44" i="2" s="1"/>
  <c r="P32" i="2"/>
  <c r="P9" i="2"/>
  <c r="Q32" i="2"/>
  <c r="Q43" i="2"/>
  <c r="Q44" i="2"/>
  <c r="Q9" i="2"/>
  <c r="S43" i="2"/>
  <c r="S44" i="2" s="1"/>
  <c r="S32" i="2"/>
  <c r="S9" i="2"/>
  <c r="T43" i="2"/>
  <c r="T44" i="2" s="1"/>
  <c r="T32" i="2"/>
  <c r="T9" i="2"/>
  <c r="T11" i="2" s="1"/>
  <c r="T15" i="2"/>
  <c r="T16" i="2" s="1"/>
  <c r="T18" i="2" s="1"/>
  <c r="T20" i="2" s="1"/>
  <c r="T21" i="2" s="1"/>
  <c r="I4" i="1"/>
  <c r="I5" i="1" s="1"/>
  <c r="I8" i="1" s="1"/>
  <c r="R11" i="2" l="1"/>
  <c r="R15" i="2" s="1"/>
  <c r="R16" i="2" s="1"/>
  <c r="R18" i="2" s="1"/>
  <c r="R20" i="2" s="1"/>
  <c r="R21" i="2" s="1"/>
  <c r="Q11" i="2"/>
  <c r="Q15" i="2" s="1"/>
  <c r="Q16" i="2"/>
  <c r="Q18" i="2" s="1"/>
  <c r="Q20" i="2" s="1"/>
  <c r="Q21" i="2" s="1"/>
  <c r="O11" i="2"/>
  <c r="O15" i="2" s="1"/>
  <c r="O16" i="2" s="1"/>
  <c r="O18" i="2" s="1"/>
  <c r="O20" i="2" s="1"/>
  <c r="O21" i="2" s="1"/>
  <c r="P11" i="2"/>
  <c r="P15" i="2" s="1"/>
  <c r="P16" i="2" s="1"/>
  <c r="P18" i="2" s="1"/>
  <c r="P20" i="2" s="1"/>
  <c r="P21" i="2" s="1"/>
  <c r="S11" i="2"/>
  <c r="S15" i="2" s="1"/>
  <c r="S16" i="2" s="1"/>
  <c r="S18" i="2" s="1"/>
  <c r="S20" i="2" s="1"/>
  <c r="S21" i="2" s="1"/>
</calcChain>
</file>

<file path=xl/sharedStrings.xml><?xml version="1.0" encoding="utf-8"?>
<sst xmlns="http://schemas.openxmlformats.org/spreadsheetml/2006/main" count="66" uniqueCount="65">
  <si>
    <t>qtbs</t>
  </si>
  <si>
    <t>price</t>
  </si>
  <si>
    <t>shares</t>
  </si>
  <si>
    <t>mc</t>
  </si>
  <si>
    <t>cash</t>
  </si>
  <si>
    <t>debt</t>
  </si>
  <si>
    <t>ev</t>
  </si>
  <si>
    <t>Main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</si>
  <si>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</si>
  <si>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</si>
  <si>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</si>
  <si>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</si>
  <si>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</si>
  <si>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</si>
  <si>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</si>
  <si>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</si>
  <si>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</si>
  <si>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</si>
  <si>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</si>
  <si>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</si>
  <si>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</si>
  <si>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</si>
  <si>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</si>
  <si>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</si>
  <si>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</si>
  <si>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</si>
  <si>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system sales</t>
  </si>
  <si>
    <t>QCaaS</t>
  </si>
  <si>
    <t>professional services</t>
  </si>
  <si>
    <t>other</t>
  </si>
  <si>
    <t>Revenue</t>
  </si>
  <si>
    <t>cogs</t>
  </si>
  <si>
    <t>gross profit</t>
  </si>
  <si>
    <t>r&amp;d</t>
  </si>
  <si>
    <t>g&amp;a</t>
  </si>
  <si>
    <t>s&amp;m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</si>
  <si>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</si>
  <si>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</si>
  <si>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</si>
  <si>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</si>
  <si>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</si>
  <si>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</si>
  <si>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</si>
  <si>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cash &amp; equilivants</t>
  </si>
  <si>
    <t>ar</t>
  </si>
  <si>
    <t>inventories</t>
  </si>
  <si>
    <t>prepaid expenses</t>
  </si>
  <si>
    <t>property &amp; equipment</t>
  </si>
  <si>
    <t>rou</t>
  </si>
  <si>
    <t>intaglible assets</t>
  </si>
  <si>
    <t>onca</t>
  </si>
  <si>
    <t>assets</t>
  </si>
  <si>
    <t>accounts payable</t>
  </si>
  <si>
    <t>accrued expenses</t>
  </si>
  <si>
    <t>current operating lease</t>
  </si>
  <si>
    <t>loans payable</t>
  </si>
  <si>
    <t>dr</t>
  </si>
  <si>
    <t>warrent liabilities</t>
  </si>
  <si>
    <t>nc operating lease</t>
  </si>
  <si>
    <t>Debt</t>
  </si>
  <si>
    <t>nc dr</t>
  </si>
  <si>
    <t>SE</t>
  </si>
  <si>
    <t>L + SE</t>
  </si>
  <si>
    <t>Revenue Growth y/y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</si>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</sst>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3" fontId="2" fillId="0" borderId="0" xfId="0" applyNumberFormat="1" applyFont="1"/>
    <xf numFmtId="3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J8"/>
  <sheetViews>
    <sheetView tabSelected="1" workbookViewId="0">
      <selection activeCell="I7" sqref="I7"/>
    </sheetView>
  </sheetViews>
  <sheetFormatPr defaultRowHeight="15"/>
  <sheetData>
    <row r="2" spans="5:10">
      <c r="E2" t="s">
        <v>0</v>
      </c>
    </row>
    <row r="3" spans="5:10">
      <c r="H3" t="s">
        <v>1</v>
      </c>
      <c r="I3">
        <v>35</v>
      </c>
    </row>
    <row r="4" spans="5:10">
      <c r="H4" t="s">
        <v>2</v>
      </c>
      <c r="I4">
        <f>339+3</f>
        <v>342</v>
      </c>
    </row>
    <row r="5" spans="5:10">
      <c r="H5" t="s">
        <v>3</v>
      </c>
      <c r="I5">
        <f>+I3*I4</f>
        <v>11970</v>
      </c>
    </row>
    <row r="6" spans="5:10">
      <c r="H6" t="s">
        <v>4</v>
      </c>
      <c r="I6" s="5">
        <v>819</v>
      </c>
      <c r="J6" s="5">
        <v>304321</v>
      </c>
    </row>
    <row r="7" spans="5:10">
      <c r="H7" t="s">
        <v>5</v>
      </c>
      <c r="I7" s="5">
        <v>32</v>
      </c>
    </row>
    <row r="8" spans="5:10">
      <c r="H8" t="s">
        <v>6</v>
      </c>
      <c r="I8" s="5">
        <f>+I5-I6+I7</f>
        <v>11183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08A9-11A6-4824-83C0-DE74EB470421}">
  <dimension ref="A1:T47"/>
  <sheetViews>
    <sheetView workbookViewId="0">
      <pane xSplit="2" ySplit="2" topLeftCell="M15" activePane="bottomRight" state="frozen"/>
      <selection pane="bottomRight" activeCell="S24" sqref="S24"/>
      <selection pane="bottomLeft"/>
      <selection pane="topRight"/>
    </sheetView>
  </sheetViews>
  <sheetFormatPr defaultRowHeight="15"/>
  <cols>
    <col min="2" max="2" width="19.42578125" bestFit="1" customWidth="1"/>
  </cols>
  <sheetData>
    <row r="1" spans="1:20">
      <c r="A1" t="s">
        <v>7</v>
      </c>
    </row>
    <row r="2" spans="1:20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s="1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</row>
    <row r="5" spans="1:20">
      <c r="B5" t="s">
        <v>26</v>
      </c>
      <c r="O5">
        <v>0</v>
      </c>
      <c r="P5">
        <v>0</v>
      </c>
      <c r="Q5">
        <v>0</v>
      </c>
      <c r="S5" s="5">
        <v>12647</v>
      </c>
      <c r="T5" s="5">
        <v>1025</v>
      </c>
    </row>
    <row r="6" spans="1:20">
      <c r="B6" t="s">
        <v>27</v>
      </c>
      <c r="O6">
        <v>2692</v>
      </c>
      <c r="P6">
        <v>1779</v>
      </c>
      <c r="Q6">
        <v>1599</v>
      </c>
      <c r="S6" s="5">
        <v>1533</v>
      </c>
      <c r="T6" s="5">
        <v>1241</v>
      </c>
    </row>
    <row r="7" spans="1:20">
      <c r="B7" t="s">
        <v>28</v>
      </c>
      <c r="O7">
        <v>639</v>
      </c>
      <c r="P7">
        <v>342</v>
      </c>
      <c r="Q7">
        <v>271</v>
      </c>
      <c r="S7" s="5">
        <v>777</v>
      </c>
      <c r="T7" s="5">
        <v>785</v>
      </c>
    </row>
    <row r="8" spans="1:20">
      <c r="B8" t="s">
        <v>29</v>
      </c>
      <c r="O8">
        <v>134</v>
      </c>
      <c r="P8">
        <v>62</v>
      </c>
      <c r="Q8">
        <v>0</v>
      </c>
      <c r="S8" s="5">
        <v>44</v>
      </c>
      <c r="T8" s="5">
        <v>44</v>
      </c>
    </row>
    <row r="9" spans="1:20" s="3" customFormat="1">
      <c r="B9" s="3" t="s">
        <v>30</v>
      </c>
      <c r="O9" s="4">
        <f>SUM(O5:O8)</f>
        <v>3465</v>
      </c>
      <c r="P9" s="4">
        <f>SUM(P5:P8)</f>
        <v>2183</v>
      </c>
      <c r="Q9" s="4">
        <f>SUM(Q5:Q8)</f>
        <v>1870</v>
      </c>
      <c r="R9" s="4">
        <f>8827-O9-P9-Q9</f>
        <v>1309</v>
      </c>
      <c r="S9" s="4">
        <f>SUM(S5:S8)</f>
        <v>15001</v>
      </c>
      <c r="T9" s="4">
        <f>SUM(T5:T8)</f>
        <v>3095</v>
      </c>
    </row>
    <row r="10" spans="1:20">
      <c r="B10" t="s">
        <v>31</v>
      </c>
      <c r="O10" s="5">
        <v>806</v>
      </c>
      <c r="P10" s="5">
        <v>795</v>
      </c>
      <c r="Q10" s="5">
        <v>827</v>
      </c>
      <c r="R10" s="5">
        <f>3264-O10-P10-Q10</f>
        <v>836</v>
      </c>
      <c r="S10" s="5">
        <v>1124</v>
      </c>
      <c r="T10" s="5">
        <v>1119</v>
      </c>
    </row>
    <row r="11" spans="1:20" s="3" customFormat="1">
      <c r="B11" s="3" t="s">
        <v>32</v>
      </c>
      <c r="O11" s="4">
        <f>+O9-O10</f>
        <v>2659</v>
      </c>
      <c r="P11" s="4">
        <f>+P9-P10</f>
        <v>1388</v>
      </c>
      <c r="Q11" s="4">
        <f>+Q9-Q10</f>
        <v>1043</v>
      </c>
      <c r="R11" s="4">
        <f>+R9-R10</f>
        <v>473</v>
      </c>
      <c r="S11" s="4">
        <f>+S9-S10</f>
        <v>13877</v>
      </c>
      <c r="T11" s="4">
        <f>+T9-T10</f>
        <v>1976</v>
      </c>
    </row>
    <row r="12" spans="1:20">
      <c r="B12" t="s">
        <v>33</v>
      </c>
      <c r="O12" s="5">
        <v>8525</v>
      </c>
      <c r="P12" s="5">
        <v>8355</v>
      </c>
      <c r="Q12" s="5">
        <v>8668</v>
      </c>
      <c r="R12" s="5">
        <f>35300-O12-P12-Q12</f>
        <v>9752</v>
      </c>
      <c r="S12" s="5">
        <v>10288</v>
      </c>
      <c r="T12" s="5">
        <v>12694</v>
      </c>
    </row>
    <row r="13" spans="1:20">
      <c r="B13" t="s">
        <v>34</v>
      </c>
      <c r="O13" s="5">
        <v>7566</v>
      </c>
      <c r="P13" s="5">
        <v>7471</v>
      </c>
      <c r="Q13" s="5">
        <v>9259</v>
      </c>
      <c r="R13" s="5">
        <f>35422-O13-P13-Q13</f>
        <v>11126</v>
      </c>
      <c r="S13" s="5">
        <v>7957</v>
      </c>
      <c r="T13" s="5">
        <v>9151</v>
      </c>
    </row>
    <row r="14" spans="1:20">
      <c r="B14" t="s">
        <v>35</v>
      </c>
      <c r="O14" s="5">
        <v>3084</v>
      </c>
      <c r="P14" s="5">
        <v>4401</v>
      </c>
      <c r="Q14" s="5">
        <v>3752</v>
      </c>
      <c r="R14" s="5">
        <f>15064-O14-P14-Q14</f>
        <v>3827</v>
      </c>
      <c r="S14" s="5">
        <v>6923</v>
      </c>
      <c r="T14" s="5">
        <v>6633</v>
      </c>
    </row>
    <row r="15" spans="1:20" s="3" customFormat="1">
      <c r="B15" s="3" t="s">
        <v>36</v>
      </c>
      <c r="O15" s="4">
        <f>SUM(O10:O14)</f>
        <v>22640</v>
      </c>
      <c r="P15" s="4">
        <f>SUM(P10:P14)</f>
        <v>22410</v>
      </c>
      <c r="Q15" s="4">
        <f>SUM(Q10:Q14)</f>
        <v>23549</v>
      </c>
      <c r="R15" s="4">
        <f>SUM(R10:R14)</f>
        <v>26014</v>
      </c>
      <c r="S15" s="4">
        <f>SUM(S10:S14)</f>
        <v>40169</v>
      </c>
      <c r="T15" s="4">
        <f>SUM(T10:T14)</f>
        <v>31573</v>
      </c>
    </row>
    <row r="16" spans="1:20" s="3" customFormat="1">
      <c r="B16" s="3" t="s">
        <v>37</v>
      </c>
      <c r="O16" s="4">
        <f>+O9-O15</f>
        <v>-19175</v>
      </c>
      <c r="P16" s="4">
        <f>+P9-P15</f>
        <v>-20227</v>
      </c>
      <c r="Q16" s="4">
        <f>+Q9-Q15</f>
        <v>-21679</v>
      </c>
      <c r="R16" s="4">
        <f>+R9-R15</f>
        <v>-24705</v>
      </c>
      <c r="S16" s="4">
        <f>+S9-S15</f>
        <v>-25168</v>
      </c>
      <c r="T16" s="4">
        <f>+T9-T15</f>
        <v>-28478</v>
      </c>
    </row>
    <row r="17" spans="2:20">
      <c r="B17" t="s">
        <v>38</v>
      </c>
      <c r="O17" s="5">
        <v>-1140</v>
      </c>
      <c r="P17" s="5">
        <v>-1160</v>
      </c>
      <c r="Q17" s="5">
        <v>-1180</v>
      </c>
      <c r="R17" s="5">
        <v>-3897</v>
      </c>
      <c r="S17" s="5">
        <v>-226</v>
      </c>
      <c r="T17" s="5">
        <v>-206</v>
      </c>
    </row>
    <row r="18" spans="2:20">
      <c r="B18" t="s">
        <v>39</v>
      </c>
      <c r="O18" s="5">
        <f>+O16-O17</f>
        <v>-18035</v>
      </c>
      <c r="P18" s="5">
        <f>+P16-P17</f>
        <v>-19067</v>
      </c>
      <c r="Q18" s="5">
        <f>+Q16-Q17</f>
        <v>-20499</v>
      </c>
      <c r="R18" s="5">
        <f>+R16-R17</f>
        <v>-20808</v>
      </c>
      <c r="S18" s="5">
        <f>+S16-S17</f>
        <v>-24942</v>
      </c>
      <c r="T18" s="5">
        <f>+T16-T17</f>
        <v>-28272</v>
      </c>
    </row>
    <row r="19" spans="2:20">
      <c r="B19" t="s">
        <v>40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2:20" s="3" customFormat="1">
      <c r="B20" s="3" t="s">
        <v>41</v>
      </c>
      <c r="O20" s="4">
        <f>+O18-O19</f>
        <v>-18035</v>
      </c>
      <c r="P20" s="4">
        <f>+P18-P19</f>
        <v>-19067</v>
      </c>
      <c r="Q20" s="4">
        <f>+Q18-Q19</f>
        <v>-20499</v>
      </c>
      <c r="R20" s="4">
        <f>+R18-R19</f>
        <v>-20808</v>
      </c>
      <c r="S20" s="4">
        <f>+S18-S19</f>
        <v>-24942</v>
      </c>
      <c r="T20" s="4">
        <f>+T18-T19</f>
        <v>-28272</v>
      </c>
    </row>
    <row r="21" spans="2:20" s="3" customFormat="1">
      <c r="B21" s="3" t="s">
        <v>42</v>
      </c>
      <c r="O21" s="6">
        <f>+O20/O22</f>
        <v>-112.01863354037268</v>
      </c>
      <c r="P21" s="6">
        <f>+P20/P22</f>
        <v>-110.8546511627907</v>
      </c>
      <c r="Q21" s="6">
        <f>+Q20/Q22</f>
        <v>-101.48019801980197</v>
      </c>
      <c r="R21" s="6">
        <f>+R20/R22</f>
        <v>-108.375</v>
      </c>
      <c r="S21" s="6">
        <f>+S20/S22</f>
        <v>-87.209790209790214</v>
      </c>
      <c r="T21" s="6">
        <f>+T20/T22</f>
        <v>-93.615894039735096</v>
      </c>
    </row>
    <row r="22" spans="2:20">
      <c r="B22" t="s">
        <v>2</v>
      </c>
      <c r="O22" s="5">
        <v>161</v>
      </c>
      <c r="P22" s="5">
        <v>172</v>
      </c>
      <c r="Q22" s="5">
        <v>202</v>
      </c>
      <c r="R22" s="5">
        <v>192</v>
      </c>
      <c r="S22" s="5">
        <v>286</v>
      </c>
      <c r="T22" s="5">
        <v>302</v>
      </c>
    </row>
    <row r="23" spans="2:20">
      <c r="O23" s="5"/>
      <c r="P23" s="5"/>
      <c r="Q23" s="5"/>
      <c r="R23" s="5"/>
      <c r="S23" s="5"/>
      <c r="T23" s="5"/>
    </row>
    <row r="24" spans="2:20">
      <c r="B24" t="s">
        <v>43</v>
      </c>
      <c r="O24" s="5">
        <v>27304</v>
      </c>
      <c r="P24" s="5">
        <v>40861</v>
      </c>
      <c r="Q24" s="5">
        <v>29274</v>
      </c>
      <c r="R24" s="5">
        <v>177980</v>
      </c>
      <c r="S24" s="5">
        <v>304321</v>
      </c>
      <c r="T24" s="5">
        <v>819312</v>
      </c>
    </row>
    <row r="25" spans="2:20">
      <c r="B25" t="s">
        <v>44</v>
      </c>
      <c r="O25" s="5">
        <v>1735</v>
      </c>
      <c r="P25" s="5">
        <v>1570</v>
      </c>
      <c r="Q25" s="5">
        <v>1456</v>
      </c>
      <c r="R25" s="5">
        <v>1420</v>
      </c>
      <c r="S25" s="5">
        <v>1047</v>
      </c>
      <c r="T25" s="5">
        <v>1442</v>
      </c>
    </row>
    <row r="26" spans="2:20">
      <c r="B26" t="s">
        <v>45</v>
      </c>
      <c r="O26" s="5">
        <v>2079</v>
      </c>
      <c r="P26" s="5">
        <v>2126</v>
      </c>
      <c r="Q26" s="5">
        <v>1903</v>
      </c>
      <c r="R26" s="5">
        <v>1686</v>
      </c>
      <c r="S26" s="5">
        <v>1702</v>
      </c>
      <c r="T26" s="5">
        <v>2448</v>
      </c>
    </row>
    <row r="27" spans="2:20">
      <c r="B27" t="s">
        <v>46</v>
      </c>
      <c r="O27" s="5">
        <v>2569</v>
      </c>
      <c r="P27" s="5">
        <v>2349</v>
      </c>
      <c r="Q27" s="5">
        <v>2447</v>
      </c>
      <c r="R27" s="5">
        <v>3954</v>
      </c>
      <c r="S27" s="5">
        <v>3795</v>
      </c>
      <c r="T27" s="5">
        <v>5338</v>
      </c>
    </row>
    <row r="28" spans="2:20">
      <c r="B28" t="s">
        <v>47</v>
      </c>
      <c r="O28" s="5">
        <v>2909</v>
      </c>
      <c r="P28" s="5">
        <v>3212</v>
      </c>
      <c r="Q28" s="5">
        <v>3414</v>
      </c>
      <c r="R28" s="5">
        <v>4133</v>
      </c>
      <c r="S28" s="5">
        <v>3999</v>
      </c>
      <c r="T28" s="5">
        <v>4504</v>
      </c>
    </row>
    <row r="29" spans="2:20">
      <c r="B29" t="s">
        <v>48</v>
      </c>
      <c r="O29" s="5">
        <v>7879</v>
      </c>
      <c r="P29" s="5">
        <v>7580</v>
      </c>
      <c r="Q29" s="5">
        <v>7642</v>
      </c>
      <c r="R29" s="5">
        <v>7261</v>
      </c>
      <c r="S29" s="5">
        <v>7084</v>
      </c>
      <c r="T29" s="5">
        <v>6915</v>
      </c>
    </row>
    <row r="30" spans="2:20">
      <c r="B30" t="s">
        <v>49</v>
      </c>
      <c r="O30" s="5">
        <v>302</v>
      </c>
      <c r="P30" s="5">
        <v>408</v>
      </c>
      <c r="Q30" s="5">
        <v>436</v>
      </c>
      <c r="R30" s="5">
        <v>490</v>
      </c>
      <c r="S30" s="5">
        <v>531</v>
      </c>
      <c r="T30" s="5">
        <v>586</v>
      </c>
    </row>
    <row r="31" spans="2:20">
      <c r="B31" t="s">
        <v>50</v>
      </c>
      <c r="O31" s="5">
        <v>3828</v>
      </c>
      <c r="P31" s="5">
        <v>3705</v>
      </c>
      <c r="Q31" s="5">
        <v>2989</v>
      </c>
      <c r="R31" s="5">
        <v>2929</v>
      </c>
      <c r="S31" s="5">
        <v>3121</v>
      </c>
      <c r="T31" s="5">
        <v>3057</v>
      </c>
    </row>
    <row r="32" spans="2:20" s="3" customFormat="1">
      <c r="B32" s="3" t="s">
        <v>51</v>
      </c>
      <c r="O32" s="4">
        <f>SUM(O24:O31)</f>
        <v>48605</v>
      </c>
      <c r="P32" s="4">
        <f>SUM(P24:P31)</f>
        <v>61811</v>
      </c>
      <c r="Q32" s="4">
        <f>SUM(Q24:Q31)</f>
        <v>49561</v>
      </c>
      <c r="R32" s="4">
        <f>SUM(R24:R31)</f>
        <v>199853</v>
      </c>
      <c r="S32" s="4">
        <f>SUM(S24:S31)</f>
        <v>325600</v>
      </c>
      <c r="T32" s="4">
        <f>SUM(T24:T31)</f>
        <v>843602</v>
      </c>
    </row>
    <row r="33" spans="2:20">
      <c r="O33" s="5"/>
      <c r="P33" s="5"/>
      <c r="Q33" s="5"/>
      <c r="R33" s="5"/>
      <c r="S33" s="5"/>
      <c r="T33" s="5"/>
    </row>
    <row r="34" spans="2:20">
      <c r="B34" t="s">
        <v>52</v>
      </c>
      <c r="O34" s="5">
        <v>1037</v>
      </c>
      <c r="P34" s="5">
        <v>1168</v>
      </c>
      <c r="Q34" s="5">
        <v>696</v>
      </c>
      <c r="R34" s="5">
        <v>815</v>
      </c>
      <c r="S34" s="5">
        <v>1021</v>
      </c>
      <c r="T34" s="5">
        <v>1190</v>
      </c>
    </row>
    <row r="35" spans="2:20">
      <c r="B35" t="s">
        <v>53</v>
      </c>
      <c r="O35" s="5">
        <v>6007</v>
      </c>
      <c r="P35" s="5">
        <v>5038</v>
      </c>
      <c r="Q35" s="5">
        <v>6573</v>
      </c>
      <c r="R35" s="5">
        <v>8784</v>
      </c>
      <c r="S35" s="5">
        <v>6556</v>
      </c>
      <c r="T35" s="5">
        <v>11582</v>
      </c>
    </row>
    <row r="36" spans="2:20">
      <c r="B36" t="s">
        <v>54</v>
      </c>
      <c r="O36" s="5">
        <v>1448</v>
      </c>
      <c r="P36" s="5">
        <v>1479</v>
      </c>
      <c r="Q36" s="5">
        <v>1580</v>
      </c>
      <c r="R36" s="5">
        <v>1512</v>
      </c>
      <c r="S36" s="5">
        <v>1525</v>
      </c>
      <c r="T36" s="5">
        <v>1596</v>
      </c>
    </row>
    <row r="37" spans="2:20">
      <c r="B37" t="s">
        <v>55</v>
      </c>
      <c r="O37" s="5">
        <v>369</v>
      </c>
      <c r="P37" s="5">
        <v>3266</v>
      </c>
      <c r="Q37" s="5">
        <v>14070</v>
      </c>
      <c r="R37" s="5">
        <v>348</v>
      </c>
      <c r="S37" s="5">
        <v>348</v>
      </c>
      <c r="T37" s="5">
        <v>0</v>
      </c>
    </row>
    <row r="38" spans="2:20">
      <c r="B38" t="s">
        <v>56</v>
      </c>
      <c r="O38" s="5">
        <v>1999</v>
      </c>
      <c r="P38" s="5">
        <v>2590</v>
      </c>
      <c r="Q38" s="5">
        <v>2910</v>
      </c>
      <c r="R38" s="5">
        <v>18686</v>
      </c>
      <c r="S38" s="5">
        <v>5549</v>
      </c>
      <c r="T38" s="5">
        <v>4906</v>
      </c>
    </row>
    <row r="39" spans="2:20">
      <c r="B39" t="s">
        <v>57</v>
      </c>
      <c r="O39" s="5">
        <v>4282</v>
      </c>
      <c r="P39" s="5">
        <v>2087</v>
      </c>
      <c r="Q39" s="5">
        <v>1611</v>
      </c>
      <c r="R39" s="5">
        <v>69875</v>
      </c>
      <c r="S39" s="5">
        <v>65932</v>
      </c>
      <c r="T39" s="5">
        <v>91037</v>
      </c>
    </row>
    <row r="40" spans="2:20">
      <c r="B40" t="s">
        <v>58</v>
      </c>
      <c r="O40" s="5">
        <v>6978</v>
      </c>
      <c r="P40" s="5">
        <v>6813</v>
      </c>
      <c r="Q40" s="5">
        <v>6966</v>
      </c>
      <c r="R40" s="5">
        <v>6389</v>
      </c>
      <c r="S40" s="5">
        <v>6213</v>
      </c>
      <c r="T40" s="5">
        <v>6322</v>
      </c>
    </row>
    <row r="41" spans="2:20">
      <c r="B41" t="s">
        <v>59</v>
      </c>
      <c r="O41" s="5">
        <v>63043</v>
      </c>
      <c r="P41" s="5">
        <v>31451</v>
      </c>
      <c r="Q41" s="5">
        <v>32013</v>
      </c>
      <c r="R41" s="5">
        <v>30128</v>
      </c>
      <c r="S41" s="5">
        <v>30367</v>
      </c>
      <c r="T41" s="5">
        <v>32061</v>
      </c>
    </row>
    <row r="42" spans="2:20">
      <c r="B42" t="s">
        <v>60</v>
      </c>
      <c r="O42" s="5">
        <v>399</v>
      </c>
      <c r="P42" s="5">
        <v>33</v>
      </c>
      <c r="Q42" s="5">
        <v>57</v>
      </c>
      <c r="R42" s="5">
        <v>670</v>
      </c>
      <c r="S42" s="5">
        <v>700</v>
      </c>
      <c r="T42" s="5">
        <v>654</v>
      </c>
    </row>
    <row r="43" spans="2:20">
      <c r="B43" t="s">
        <v>61</v>
      </c>
      <c r="O43" s="5">
        <f>SUM(O34:O42)</f>
        <v>85562</v>
      </c>
      <c r="P43" s="5">
        <f>SUM(P34:P42)</f>
        <v>53925</v>
      </c>
      <c r="Q43" s="5">
        <f>SUM(Q34:Q42)</f>
        <v>66476</v>
      </c>
      <c r="R43" s="5">
        <f>SUM(R34:R42)</f>
        <v>137207</v>
      </c>
      <c r="S43" s="5">
        <f>SUM(S34:S42)</f>
        <v>118211</v>
      </c>
      <c r="T43" s="5">
        <f>SUM(T34:T42)</f>
        <v>149348</v>
      </c>
    </row>
    <row r="44" spans="2:20" s="3" customFormat="1">
      <c r="B44" s="3" t="s">
        <v>62</v>
      </c>
      <c r="O44" s="4">
        <f>SUM(O34:O43)</f>
        <v>171124</v>
      </c>
      <c r="P44" s="4">
        <f>SUM(P34:P43)</f>
        <v>107850</v>
      </c>
      <c r="Q44" s="4">
        <f>SUM(Q34:Q43)</f>
        <v>132952</v>
      </c>
      <c r="R44" s="4">
        <f>SUM(R34:R43)</f>
        <v>274414</v>
      </c>
      <c r="S44" s="4">
        <f>SUM(S34:S43)</f>
        <v>236422</v>
      </c>
      <c r="T44" s="4">
        <f>SUM(T34:T43)</f>
        <v>298696</v>
      </c>
    </row>
    <row r="46" spans="2:20">
      <c r="B46" t="s">
        <v>63</v>
      </c>
    </row>
    <row r="47" spans="2:20">
      <c r="B4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2025-10-28T13:47:34Z</dcterms:created>
  <dcterms:modified xsi:type="dcterms:W3CDTF">2025-11-04T13:41:39Z</dcterms:modified>
  <cp:category/>
  <cp:contentStatus/>
</cp:coreProperties>
</file>