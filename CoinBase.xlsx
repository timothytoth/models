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864" documentId="11_0B1D56BE9CDCCE836B02CE7A5FB0D4A9BBFD1C62" xr6:coauthVersionLast="47" xr6:coauthVersionMax="47" xr10:uidLastSave="{B4088680-BF5C-488E-A750-8C6672766CC2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7" i="1"/>
  <c r="J5" i="1"/>
  <c r="Q59" i="2"/>
  <c r="Q57" i="2"/>
  <c r="N54" i="2"/>
  <c r="J54" i="2"/>
  <c r="Q37" i="2"/>
  <c r="Q54" i="2" s="1"/>
  <c r="Q13" i="2"/>
  <c r="Q12" i="2"/>
  <c r="Q33" i="2"/>
  <c r="Q24" i="2"/>
  <c r="Q15" i="2"/>
  <c r="Q17" i="2" s="1"/>
  <c r="Q25" i="2" s="1"/>
  <c r="Q27" i="2" s="1"/>
  <c r="Q29" i="2" s="1"/>
  <c r="Q30" i="2" s="1"/>
  <c r="G67" i="2"/>
  <c r="G59" i="2"/>
  <c r="G57" i="2"/>
  <c r="G38" i="2"/>
  <c r="G37" i="2"/>
  <c r="G54" i="2" s="1"/>
  <c r="G33" i="2"/>
  <c r="G24" i="2"/>
  <c r="G13" i="2"/>
  <c r="G12" i="2"/>
  <c r="G15" i="2" s="1"/>
  <c r="G17" i="2" s="1"/>
  <c r="G25" i="2" s="1"/>
  <c r="G27" i="2" s="1"/>
  <c r="G29" i="2" s="1"/>
  <c r="G30" i="2" s="1"/>
  <c r="H13" i="2"/>
  <c r="H12" i="2"/>
  <c r="H67" i="2"/>
  <c r="H59" i="2"/>
  <c r="H57" i="2"/>
  <c r="H38" i="2"/>
  <c r="H37" i="2"/>
  <c r="H54" i="2" s="1"/>
  <c r="H24" i="2"/>
  <c r="I59" i="2"/>
  <c r="I57" i="2"/>
  <c r="I38" i="2"/>
  <c r="I37" i="2"/>
  <c r="I54" i="2" s="1"/>
  <c r="I13" i="2"/>
  <c r="I12" i="2"/>
  <c r="I67" i="2"/>
  <c r="I33" i="2"/>
  <c r="I24" i="2"/>
  <c r="I15" i="2"/>
  <c r="I17" i="2" s="1"/>
  <c r="I25" i="2" s="1"/>
  <c r="I27" i="2" s="1"/>
  <c r="I29" i="2" s="1"/>
  <c r="I30" i="2" s="1"/>
  <c r="K13" i="2"/>
  <c r="K12" i="2"/>
  <c r="K67" i="2"/>
  <c r="K60" i="2"/>
  <c r="K59" i="2"/>
  <c r="K57" i="2"/>
  <c r="K39" i="2"/>
  <c r="K38" i="2"/>
  <c r="K37" i="2"/>
  <c r="K54" i="2" s="1"/>
  <c r="K33" i="2"/>
  <c r="K24" i="2"/>
  <c r="K15" i="2"/>
  <c r="K17" i="2" s="1"/>
  <c r="K25" i="2" s="1"/>
  <c r="K27" i="2" s="1"/>
  <c r="K29" i="2" s="1"/>
  <c r="K30" i="2" s="1"/>
  <c r="L59" i="2"/>
  <c r="L57" i="2"/>
  <c r="L39" i="2"/>
  <c r="L38" i="2"/>
  <c r="L37" i="2"/>
  <c r="L54" i="2" s="1"/>
  <c r="L13" i="2"/>
  <c r="L12" i="2"/>
  <c r="L67" i="2"/>
  <c r="L24" i="2"/>
  <c r="L15" i="2"/>
  <c r="L17" i="2" s="1"/>
  <c r="L25" i="2" s="1"/>
  <c r="L27" i="2" s="1"/>
  <c r="L29" i="2" s="1"/>
  <c r="L30" i="2" s="1"/>
  <c r="M13" i="2"/>
  <c r="M12" i="2"/>
  <c r="M67" i="2"/>
  <c r="M60" i="2"/>
  <c r="M59" i="2"/>
  <c r="M57" i="2"/>
  <c r="M39" i="2"/>
  <c r="M38" i="2"/>
  <c r="M37" i="2"/>
  <c r="M54" i="2" s="1"/>
  <c r="M33" i="2"/>
  <c r="M24" i="2"/>
  <c r="M15" i="2"/>
  <c r="M17" i="2" s="1"/>
  <c r="M25" i="2" s="1"/>
  <c r="O59" i="2"/>
  <c r="O57" i="2"/>
  <c r="O39" i="2"/>
  <c r="O38" i="2"/>
  <c r="O37" i="2"/>
  <c r="O54" i="2" s="1"/>
  <c r="O13" i="2"/>
  <c r="P60" i="2"/>
  <c r="P59" i="2"/>
  <c r="P57" i="2"/>
  <c r="P39" i="2"/>
  <c r="P37" i="2"/>
  <c r="P38" i="2"/>
  <c r="P13" i="2"/>
  <c r="O24" i="2"/>
  <c r="O12" i="2"/>
  <c r="O15" i="2" s="1"/>
  <c r="O17" i="2" s="1"/>
  <c r="O25" i="2" s="1"/>
  <c r="O27" i="2" s="1"/>
  <c r="O29" i="2" s="1"/>
  <c r="O30" i="2" s="1"/>
  <c r="N5" i="2"/>
  <c r="P5" i="2"/>
  <c r="S7" i="2"/>
  <c r="O67" i="2"/>
  <c r="O62" i="2"/>
  <c r="O63" i="2" s="1"/>
  <c r="O33" i="2"/>
  <c r="O10" i="2"/>
  <c r="N67" i="2"/>
  <c r="F67" i="2"/>
  <c r="E67" i="2"/>
  <c r="D67" i="2"/>
  <c r="C67" i="2"/>
  <c r="P67" i="2"/>
  <c r="P62" i="2"/>
  <c r="P63" i="2" s="1"/>
  <c r="P33" i="2"/>
  <c r="N33" i="2"/>
  <c r="P24" i="2"/>
  <c r="P12" i="2"/>
  <c r="P15" i="2"/>
  <c r="N10" i="2"/>
  <c r="M10" i="2"/>
  <c r="L10" i="2"/>
  <c r="K10" i="2"/>
  <c r="J10" i="2"/>
  <c r="I10" i="2"/>
  <c r="G10" i="2"/>
  <c r="F10" i="2"/>
  <c r="E10" i="2"/>
  <c r="D10" i="2"/>
  <c r="C10" i="2"/>
  <c r="P10" i="2"/>
  <c r="M4" i="2"/>
  <c r="L4" i="2"/>
  <c r="J6" i="1"/>
  <c r="P54" i="2" l="1"/>
  <c r="Q62" i="2"/>
  <c r="Q63" i="2" s="1"/>
  <c r="G62" i="2"/>
  <c r="G63" i="2" s="1"/>
  <c r="H62" i="2"/>
  <c r="H63" i="2" s="1"/>
  <c r="M27" i="2"/>
  <c r="M29" i="2" s="1"/>
  <c r="M30" i="2" s="1"/>
  <c r="I62" i="2"/>
  <c r="I63" i="2" s="1"/>
  <c r="K62" i="2"/>
  <c r="K63" i="2" s="1"/>
  <c r="L62" i="2"/>
  <c r="L63" i="2" s="1"/>
  <c r="M62" i="2"/>
  <c r="M63" i="2" s="1"/>
  <c r="P17" i="2"/>
  <c r="P25" i="2" l="1"/>
  <c r="P27" i="2" s="1"/>
  <c r="P29" i="2" s="1"/>
  <c r="P30" i="2" s="1"/>
  <c r="H15" i="2"/>
  <c r="H17" i="2"/>
  <c r="H10" i="2" s="1"/>
  <c r="H25" i="2"/>
  <c r="H27" i="2"/>
  <c r="H29" i="2"/>
  <c r="H30" i="2"/>
  <c r="L33" i="2"/>
  <c r="H33" i="2"/>
</calcChain>
</file>

<file path=xl/sharedStrings.xml><?xml version="1.0" encoding="utf-8"?>
<sst xmlns="http://schemas.openxmlformats.org/spreadsheetml/2006/main" count="81" uniqueCount="78">
  <si>
    <t>Price</t>
  </si>
  <si>
    <t>Q325</t>
  </si>
  <si>
    <t>Shares</t>
  </si>
  <si>
    <t>MC</t>
  </si>
  <si>
    <t xml:space="preserve">Cash </t>
  </si>
  <si>
    <t>Debt</t>
  </si>
  <si>
    <t>EV</t>
  </si>
  <si>
    <t>*</t>
  </si>
  <si>
    <t xml:space="preserve">Main 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</si>
  <si>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</si>
  <si>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</si>
  <si>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</si>
  <si>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</si>
  <si>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</si>
  <si>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</si>
  <si>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</si>
  <si>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</si>
  <si>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</si>
  <si>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</si>
  <si>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</si>
  <si>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</si>
  <si>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</si>
  <si>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</si>
  <si>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Contracts</t>
  </si>
  <si>
    <t>Average Client Balance</t>
  </si>
  <si>
    <t>AUC</t>
  </si>
  <si>
    <t>Net Deposits Additions</t>
  </si>
  <si>
    <t>Subscriptions</t>
  </si>
  <si>
    <t>Funded Customers</t>
  </si>
  <si>
    <t>ARPU</t>
  </si>
  <si>
    <t>Transactions</t>
  </si>
  <si>
    <t>Subcription &amp; Services</t>
  </si>
  <si>
    <t xml:space="preserve">Other </t>
  </si>
  <si>
    <t xml:space="preserve">Revenue </t>
  </si>
  <si>
    <t>Transaction Expense</t>
  </si>
  <si>
    <t>Gross Margin</t>
  </si>
  <si>
    <t>Tech</t>
  </si>
  <si>
    <t>Sales and Marketing</t>
  </si>
  <si>
    <t xml:space="preserve">G&amp;A </t>
  </si>
  <si>
    <t>Restructuring</t>
  </si>
  <si>
    <t>Crypto Operations</t>
  </si>
  <si>
    <t>Other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</si>
  <si>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</si>
  <si>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</si>
  <si>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</si>
  <si>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</si>
  <si>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</si>
  <si>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</si>
  <si>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</si>
  <si>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Growth</t>
  </si>
  <si>
    <t>Cash</t>
  </si>
  <si>
    <t>Customer Custodial funds</t>
  </si>
  <si>
    <t>Crypto Assets held for operations</t>
  </si>
  <si>
    <t>Loan Recievables</t>
  </si>
  <si>
    <t>Crypto assets held as collateral</t>
  </si>
  <si>
    <t>Crypto assets borrowed</t>
  </si>
  <si>
    <t>Accounts Recievables</t>
  </si>
  <si>
    <t>Marketable investments</t>
  </si>
  <si>
    <t>OCA</t>
  </si>
  <si>
    <t>Crypto asets held for investment</t>
  </si>
  <si>
    <t>Strategic Investments</t>
  </si>
  <si>
    <t>Deferred Tax Assets</t>
  </si>
  <si>
    <t>Lease ROU</t>
  </si>
  <si>
    <t>Property and Equipment</t>
  </si>
  <si>
    <t>Goodwill</t>
  </si>
  <si>
    <t>Intangible Assets</t>
  </si>
  <si>
    <t>ONCA</t>
  </si>
  <si>
    <t>Assets</t>
  </si>
  <si>
    <t>AP</t>
  </si>
  <si>
    <t>Payable to Users</t>
  </si>
  <si>
    <t>current portion long debt</t>
  </si>
  <si>
    <t>OCL</t>
  </si>
  <si>
    <t>ONCL</t>
  </si>
  <si>
    <t>SE</t>
  </si>
  <si>
    <t>L+SE</t>
  </si>
  <si>
    <t>CFFO</t>
  </si>
  <si>
    <t>CB One</t>
  </si>
  <si>
    <t>CFFO +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</si>
</sst>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4:K37"/>
  <sheetViews>
    <sheetView topLeftCell="B1" workbookViewId="0">
      <selection activeCell="J12" sqref="J12"/>
    </sheetView>
  </sheetViews>
  <sheetFormatPr defaultRowHeight="15"/>
  <cols>
    <col min="10" max="10" width="10.42578125" bestFit="1" customWidth="1"/>
  </cols>
  <sheetData>
    <row r="4" spans="9:11">
      <c r="I4" t="s">
        <v>0</v>
      </c>
      <c r="J4" s="1">
        <v>344</v>
      </c>
      <c r="K4" t="s">
        <v>1</v>
      </c>
    </row>
    <row r="5" spans="9:11">
      <c r="I5" t="s">
        <v>2</v>
      </c>
      <c r="J5" s="1">
        <f>228+41</f>
        <v>269</v>
      </c>
    </row>
    <row r="6" spans="9:11">
      <c r="I6" t="s">
        <v>3</v>
      </c>
      <c r="J6" s="1">
        <f>+J5*J4</f>
        <v>92536</v>
      </c>
    </row>
    <row r="7" spans="9:11">
      <c r="I7" t="s">
        <v>4</v>
      </c>
      <c r="J7" s="1">
        <f>8676+79+3697</f>
        <v>12452</v>
      </c>
    </row>
    <row r="8" spans="9:11">
      <c r="I8" t="s">
        <v>5</v>
      </c>
      <c r="J8" s="1">
        <v>5933</v>
      </c>
    </row>
    <row r="9" spans="9:11">
      <c r="I9" t="s">
        <v>6</v>
      </c>
      <c r="J9" s="1">
        <f>+J6-J7+J8</f>
        <v>86017</v>
      </c>
    </row>
    <row r="37" spans="10:10">
      <c r="J3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4287-9CFF-49F8-815F-4374E6724484}">
  <dimension ref="A1:U77"/>
  <sheetViews>
    <sheetView tabSelected="1" workbookViewId="0">
      <pane xSplit="2" ySplit="2" topLeftCell="G12" activePane="bottomRight" state="frozen"/>
      <selection pane="bottomRight" activeCell="Q60" sqref="Q60"/>
      <selection pane="bottomLeft"/>
      <selection pane="topRight"/>
    </sheetView>
  </sheetViews>
  <sheetFormatPr defaultRowHeight="15"/>
  <cols>
    <col min="2" max="2" width="22.7109375" bestFit="1" customWidth="1"/>
    <col min="11" max="13" width="10.42578125" bestFit="1" customWidth="1"/>
    <col min="15" max="16" width="9.85546875" bestFit="1" customWidth="1"/>
  </cols>
  <sheetData>
    <row r="1" spans="1:21">
      <c r="A1" t="s">
        <v>8</v>
      </c>
    </row>
    <row r="2" spans="1:21"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3" t="s">
        <v>16</v>
      </c>
      <c r="K2" s="2" t="s">
        <v>17</v>
      </c>
      <c r="L2" s="3" t="s">
        <v>18</v>
      </c>
      <c r="M2" s="2" t="s">
        <v>19</v>
      </c>
      <c r="N2" s="3" t="s">
        <v>20</v>
      </c>
      <c r="O2" s="2" t="s">
        <v>21</v>
      </c>
      <c r="P2" s="2" t="s">
        <v>22</v>
      </c>
      <c r="Q2" s="2" t="s">
        <v>1</v>
      </c>
      <c r="R2" s="2"/>
    </row>
    <row r="3" spans="1:21">
      <c r="P3" s="1"/>
    </row>
    <row r="4" spans="1:21">
      <c r="B4" t="s">
        <v>23</v>
      </c>
      <c r="L4">
        <f>37+189</f>
        <v>226</v>
      </c>
      <c r="M4">
        <f>34+151</f>
        <v>185</v>
      </c>
      <c r="N4">
        <v>439</v>
      </c>
      <c r="O4" s="1">
        <v>393</v>
      </c>
      <c r="P4" s="1">
        <v>237</v>
      </c>
      <c r="T4" s="4"/>
    </row>
    <row r="5" spans="1:21">
      <c r="B5" t="s">
        <v>24</v>
      </c>
      <c r="N5" s="1">
        <f>N6/N9*1000</f>
        <v>26.829268292682926</v>
      </c>
      <c r="P5" s="1">
        <f>P6/P9*1000</f>
        <v>27.84090909090909</v>
      </c>
      <c r="T5" s="4"/>
    </row>
    <row r="6" spans="1:21">
      <c r="B6" t="s">
        <v>25</v>
      </c>
      <c r="N6" s="1">
        <v>220</v>
      </c>
      <c r="P6" s="1">
        <v>245</v>
      </c>
      <c r="T6" s="4"/>
    </row>
    <row r="7" spans="1:21">
      <c r="B7" s="1" t="s">
        <v>26</v>
      </c>
      <c r="N7" s="1">
        <v>1100</v>
      </c>
      <c r="P7" s="1">
        <v>3600</v>
      </c>
      <c r="S7" t="e">
        <f>+Q8/Q11*1000</f>
        <v>#DIV/0!</v>
      </c>
      <c r="T7" s="4"/>
    </row>
    <row r="8" spans="1:21">
      <c r="B8" s="1" t="s">
        <v>27</v>
      </c>
      <c r="N8" s="1">
        <v>641</v>
      </c>
      <c r="P8" s="1">
        <v>656</v>
      </c>
      <c r="Q8">
        <v>747</v>
      </c>
      <c r="T8" s="4"/>
    </row>
    <row r="9" spans="1:21">
      <c r="B9" t="s">
        <v>28</v>
      </c>
      <c r="N9" s="1">
        <v>8200</v>
      </c>
      <c r="P9" s="1">
        <v>8800</v>
      </c>
      <c r="T9" s="4"/>
    </row>
    <row r="10" spans="1:21">
      <c r="B10" t="s">
        <v>29</v>
      </c>
      <c r="C10" s="5" t="e">
        <f>+C17*1000/C9</f>
        <v>#DIV/0!</v>
      </c>
      <c r="D10" s="5" t="e">
        <f>+D17*1000/D9</f>
        <v>#DIV/0!</v>
      </c>
      <c r="E10" s="5" t="e">
        <f>+E17*1000/E9</f>
        <v>#DIV/0!</v>
      </c>
      <c r="F10" s="5" t="e">
        <f>+F17*1000/F9</f>
        <v>#DIV/0!</v>
      </c>
      <c r="G10" s="5" t="e">
        <f>+G17*1000/G9</f>
        <v>#DIV/0!</v>
      </c>
      <c r="H10" s="5" t="e">
        <f>+H17*1000/H9</f>
        <v>#DIV/0!</v>
      </c>
      <c r="I10" s="5" t="e">
        <f>+#REF!*1000/I9</f>
        <v>#REF!</v>
      </c>
      <c r="J10" s="5" t="e">
        <f>+I17*1000/J9</f>
        <v>#DIV/0!</v>
      </c>
      <c r="K10" s="5" t="e">
        <f>+K17*1000/K9</f>
        <v>#DIV/0!</v>
      </c>
      <c r="L10" s="5" t="e">
        <f>+L17*1000/L9</f>
        <v>#DIV/0!</v>
      </c>
      <c r="M10" s="5" t="e">
        <f>+M17*1000/M9</f>
        <v>#DIV/0!</v>
      </c>
      <c r="N10" s="5" t="e">
        <f>+N17*1000/#REF!</f>
        <v>#REF!</v>
      </c>
      <c r="O10" s="5" t="e">
        <f>+#REF!*1000/N9</f>
        <v>#REF!</v>
      </c>
      <c r="P10" s="5" t="e">
        <f>+#REF!*1000/P9</f>
        <v>#REF!</v>
      </c>
      <c r="T10" s="5"/>
    </row>
    <row r="12" spans="1:21">
      <c r="B12" t="s">
        <v>30</v>
      </c>
      <c r="G12" s="4">
        <f>310+17</f>
        <v>327</v>
      </c>
      <c r="H12" s="4">
        <f>310+17</f>
        <v>327</v>
      </c>
      <c r="I12" s="4">
        <f>274+14</f>
        <v>288</v>
      </c>
      <c r="K12" s="4">
        <f>935+85+56</f>
        <v>1076</v>
      </c>
      <c r="L12" s="4">
        <f>664+63+52</f>
        <v>779</v>
      </c>
      <c r="M12" s="4">
        <f>483+55+33</f>
        <v>571</v>
      </c>
      <c r="N12" s="2"/>
      <c r="O12" s="4">
        <f>1095+98+67</f>
        <v>1260</v>
      </c>
      <c r="P12" s="4">
        <f>650+61+54</f>
        <v>765</v>
      </c>
      <c r="Q12" s="4">
        <f>844+135+68</f>
        <v>1047</v>
      </c>
    </row>
    <row r="13" spans="1:21">
      <c r="B13" t="s">
        <v>31</v>
      </c>
      <c r="C13" s="10"/>
      <c r="D13" s="10"/>
      <c r="E13" s="10"/>
      <c r="F13" s="10"/>
      <c r="G13" s="4">
        <f>87+16+201+29</f>
        <v>333</v>
      </c>
      <c r="H13" s="4">
        <f>87+16+201+29</f>
        <v>333</v>
      </c>
      <c r="I13" s="4">
        <f>172+74+39+15+32</f>
        <v>332</v>
      </c>
      <c r="K13" s="4">
        <f>197+150+66+32+63</f>
        <v>508</v>
      </c>
      <c r="L13" s="4">
        <f>240+185+69+34+69</f>
        <v>597</v>
      </c>
      <c r="M13" s="4">
        <f>246+154+63+31+58</f>
        <v>552</v>
      </c>
      <c r="N13" s="2"/>
      <c r="O13" s="4">
        <f>297+196+63+140</f>
        <v>696</v>
      </c>
      <c r="P13" s="4">
        <f>332+144+59+119</f>
        <v>654</v>
      </c>
      <c r="Q13" s="4">
        <f>355+185+65+143</f>
        <v>748</v>
      </c>
      <c r="R13" s="10"/>
      <c r="S13" s="10"/>
    </row>
    <row r="14" spans="1:21">
      <c r="B14" t="s">
        <v>32</v>
      </c>
      <c r="G14" s="1">
        <v>45</v>
      </c>
      <c r="H14" s="1">
        <v>45</v>
      </c>
      <c r="I14" s="1">
        <v>51</v>
      </c>
      <c r="K14" s="1">
        <v>50</v>
      </c>
      <c r="L14" s="1">
        <v>69</v>
      </c>
      <c r="M14" s="1">
        <v>77</v>
      </c>
      <c r="O14" s="1">
        <v>73</v>
      </c>
      <c r="P14" s="1">
        <v>77</v>
      </c>
      <c r="Q14" s="1">
        <v>75</v>
      </c>
    </row>
    <row r="15" spans="1:21">
      <c r="B15" s="10" t="s">
        <v>33</v>
      </c>
      <c r="G15" s="13">
        <f>SUM(G12:G14)</f>
        <v>705</v>
      </c>
      <c r="H15" s="13">
        <f>SUM(H12:H14)</f>
        <v>705</v>
      </c>
      <c r="I15" s="13">
        <f>SUM(I12:I14)</f>
        <v>671</v>
      </c>
      <c r="K15" s="13">
        <f>SUM(K12:K14)</f>
        <v>1634</v>
      </c>
      <c r="L15" s="13">
        <f>SUM(L12:L14)</f>
        <v>1445</v>
      </c>
      <c r="M15" s="13">
        <f>SUM(M12:M14)</f>
        <v>1200</v>
      </c>
      <c r="N15" s="7"/>
      <c r="O15" s="13">
        <f>SUM(O12:O14)</f>
        <v>2029</v>
      </c>
      <c r="P15" s="13">
        <f>SUM(P12:P14)</f>
        <v>1496</v>
      </c>
      <c r="Q15" s="13">
        <f>SUM(Q12:Q14)</f>
        <v>1870</v>
      </c>
    </row>
    <row r="16" spans="1:21">
      <c r="B16" t="s">
        <v>34</v>
      </c>
      <c r="G16" s="1">
        <v>108</v>
      </c>
      <c r="H16" s="1">
        <v>108</v>
      </c>
      <c r="I16" s="1">
        <v>90</v>
      </c>
      <c r="K16" s="1">
        <v>217</v>
      </c>
      <c r="L16" s="1">
        <v>191</v>
      </c>
      <c r="M16" s="1">
        <v>171</v>
      </c>
      <c r="O16" s="1">
        <v>303</v>
      </c>
      <c r="P16" s="1">
        <v>245</v>
      </c>
      <c r="Q16" s="1">
        <v>253</v>
      </c>
      <c r="U16" s="10"/>
    </row>
    <row r="17" spans="2:20">
      <c r="B17" s="10" t="s">
        <v>35</v>
      </c>
      <c r="C17" s="10"/>
      <c r="D17" s="10"/>
      <c r="E17" s="10"/>
      <c r="F17" s="10"/>
      <c r="G17" s="14">
        <f>+G15-G16</f>
        <v>597</v>
      </c>
      <c r="H17" s="14">
        <f>+H15-H16</f>
        <v>597</v>
      </c>
      <c r="I17" s="14">
        <f>+I15-I16</f>
        <v>581</v>
      </c>
      <c r="K17" s="14">
        <f>+K15-K16</f>
        <v>1417</v>
      </c>
      <c r="L17" s="14">
        <f>+L15-L16</f>
        <v>1254</v>
      </c>
      <c r="M17" s="14">
        <f>+M15-M16</f>
        <v>1029</v>
      </c>
      <c r="N17" s="11"/>
      <c r="O17" s="14">
        <f>+O15-O16</f>
        <v>1726</v>
      </c>
      <c r="P17" s="14">
        <f>+P15-P16</f>
        <v>1251</v>
      </c>
      <c r="Q17" s="14">
        <f>+Q15-Q16</f>
        <v>1617</v>
      </c>
    </row>
    <row r="18" spans="2:20">
      <c r="B18" t="s">
        <v>36</v>
      </c>
      <c r="G18" s="1">
        <v>320</v>
      </c>
      <c r="H18" s="1">
        <v>320</v>
      </c>
      <c r="I18" s="1">
        <v>322</v>
      </c>
      <c r="K18" s="1">
        <v>357</v>
      </c>
      <c r="L18" s="1">
        <v>364</v>
      </c>
      <c r="M18" s="1">
        <v>377</v>
      </c>
      <c r="O18" s="1">
        <v>355</v>
      </c>
      <c r="P18" s="1">
        <v>387</v>
      </c>
      <c r="Q18" s="1">
        <v>431</v>
      </c>
    </row>
    <row r="19" spans="2:20">
      <c r="B19" t="s">
        <v>37</v>
      </c>
      <c r="G19" s="1">
        <v>83</v>
      </c>
      <c r="H19" s="1">
        <v>83</v>
      </c>
      <c r="I19" s="1">
        <v>78</v>
      </c>
      <c r="K19" s="1">
        <v>98</v>
      </c>
      <c r="L19" s="1">
        <v>165</v>
      </c>
      <c r="M19" s="1">
        <v>164</v>
      </c>
      <c r="O19" s="1">
        <v>247</v>
      </c>
      <c r="P19" s="1">
        <v>236</v>
      </c>
      <c r="Q19" s="1">
        <v>260</v>
      </c>
    </row>
    <row r="20" spans="2:20">
      <c r="B20" t="s">
        <v>38</v>
      </c>
      <c r="G20" s="1">
        <v>258</v>
      </c>
      <c r="H20" s="1">
        <v>258</v>
      </c>
      <c r="I20" s="1">
        <v>252</v>
      </c>
      <c r="K20" s="1">
        <v>287</v>
      </c>
      <c r="L20" s="1">
        <v>320</v>
      </c>
      <c r="M20" s="1">
        <v>330</v>
      </c>
      <c r="O20" s="1">
        <v>394</v>
      </c>
      <c r="P20" s="1">
        <v>353</v>
      </c>
      <c r="Q20" s="1">
        <v>419</v>
      </c>
      <c r="T20" s="2"/>
    </row>
    <row r="21" spans="2:20">
      <c r="B21" t="s">
        <v>39</v>
      </c>
      <c r="G21" s="1">
        <v>1</v>
      </c>
      <c r="H21" s="1">
        <v>1</v>
      </c>
      <c r="I21" s="1">
        <v>1</v>
      </c>
      <c r="K21" s="1"/>
      <c r="L21" s="1"/>
      <c r="M21" s="1"/>
      <c r="O21" s="1"/>
      <c r="P21" s="1"/>
      <c r="Q21" s="1">
        <v>0</v>
      </c>
      <c r="T21" s="2"/>
    </row>
    <row r="22" spans="2:20">
      <c r="B22" t="s">
        <v>40</v>
      </c>
      <c r="G22" s="1">
        <v>0</v>
      </c>
      <c r="H22" s="1">
        <v>0</v>
      </c>
      <c r="I22" s="1">
        <v>7</v>
      </c>
      <c r="K22" s="1">
        <v>86</v>
      </c>
      <c r="L22" s="1">
        <v>31</v>
      </c>
      <c r="M22" s="1">
        <v>142</v>
      </c>
      <c r="O22" s="1">
        <v>34</v>
      </c>
      <c r="P22" s="1">
        <v>8</v>
      </c>
      <c r="Q22" s="1">
        <v>36</v>
      </c>
      <c r="T22" s="2"/>
    </row>
    <row r="23" spans="2:20">
      <c r="B23" t="s">
        <v>41</v>
      </c>
      <c r="G23" s="1">
        <v>10</v>
      </c>
      <c r="H23" s="1">
        <v>10</v>
      </c>
      <c r="I23" s="1">
        <v>4</v>
      </c>
      <c r="K23" s="1">
        <v>2</v>
      </c>
      <c r="L23" s="1">
        <v>34</v>
      </c>
      <c r="M23" s="1">
        <v>8</v>
      </c>
      <c r="O23" s="1">
        <v>0</v>
      </c>
      <c r="P23" s="1">
        <v>308</v>
      </c>
      <c r="Q23" s="1">
        <v>61</v>
      </c>
      <c r="T23" s="2"/>
    </row>
    <row r="24" spans="2:20">
      <c r="B24" s="10" t="s">
        <v>42</v>
      </c>
      <c r="C24" s="10"/>
      <c r="D24" s="10"/>
      <c r="E24" s="10"/>
      <c r="F24" s="10"/>
      <c r="G24" s="14">
        <f>SUM(G18:G20)</f>
        <v>661</v>
      </c>
      <c r="H24" s="14">
        <f>SUM(H18:H20)</f>
        <v>661</v>
      </c>
      <c r="I24" s="14">
        <f>SUM(I18:I20)</f>
        <v>652</v>
      </c>
      <c r="K24" s="14">
        <f>SUM(K18:K20)</f>
        <v>742</v>
      </c>
      <c r="L24" s="14">
        <f>SUM(L18:L20)</f>
        <v>849</v>
      </c>
      <c r="M24" s="14">
        <f>SUM(M18:M20)</f>
        <v>871</v>
      </c>
      <c r="N24" s="11"/>
      <c r="O24" s="14">
        <f>SUM(O18:O20)</f>
        <v>996</v>
      </c>
      <c r="P24" s="14">
        <f>SUM(P18:P20)</f>
        <v>976</v>
      </c>
      <c r="Q24" s="14">
        <f>SUM(Q18:Q20)</f>
        <v>1110</v>
      </c>
      <c r="R24" s="11"/>
      <c r="S24" s="10"/>
      <c r="T24" s="10"/>
    </row>
    <row r="25" spans="2:20">
      <c r="B25" s="10" t="s">
        <v>43</v>
      </c>
      <c r="C25" s="10"/>
      <c r="D25" s="10"/>
      <c r="E25" s="10"/>
      <c r="F25" s="10"/>
      <c r="G25" s="12">
        <f>+G17-G24</f>
        <v>-64</v>
      </c>
      <c r="H25" s="12">
        <f>+H17-H24</f>
        <v>-64</v>
      </c>
      <c r="I25" s="12">
        <f>+I17-I24</f>
        <v>-71</v>
      </c>
      <c r="K25" s="12">
        <f>+K17-K24</f>
        <v>675</v>
      </c>
      <c r="L25" s="12">
        <f>+L17-L24</f>
        <v>405</v>
      </c>
      <c r="M25" s="12">
        <f>+M17-M24</f>
        <v>158</v>
      </c>
      <c r="N25" s="10"/>
      <c r="O25" s="12">
        <f>+O17-O24</f>
        <v>730</v>
      </c>
      <c r="P25" s="12">
        <f>+P17-P24</f>
        <v>275</v>
      </c>
      <c r="Q25" s="12">
        <f>+Q17-Q24</f>
        <v>507</v>
      </c>
      <c r="R25" s="2"/>
    </row>
    <row r="26" spans="2:20">
      <c r="B26" t="s">
        <v>44</v>
      </c>
      <c r="G26" s="1">
        <v>-16</v>
      </c>
      <c r="H26" s="1">
        <v>-16</v>
      </c>
      <c r="I26" s="1">
        <v>-135</v>
      </c>
      <c r="K26" s="1">
        <v>-45</v>
      </c>
      <c r="L26" s="1">
        <v>-62</v>
      </c>
      <c r="M26" s="1">
        <v>-40</v>
      </c>
      <c r="O26" s="1">
        <v>-6</v>
      </c>
      <c r="P26" s="1">
        <v>-1506</v>
      </c>
      <c r="Q26" s="1">
        <v>-22</v>
      </c>
      <c r="T26" s="2"/>
    </row>
    <row r="27" spans="2:20">
      <c r="B27" t="s">
        <v>45</v>
      </c>
      <c r="G27" s="1">
        <f>+G25+G26</f>
        <v>-80</v>
      </c>
      <c r="H27" s="1">
        <f>+H25+H26</f>
        <v>-80</v>
      </c>
      <c r="I27" s="1">
        <f>+I25+I26</f>
        <v>-206</v>
      </c>
      <c r="K27" s="1">
        <f>+K25+K26</f>
        <v>630</v>
      </c>
      <c r="L27" s="1">
        <f>+L25+L26</f>
        <v>343</v>
      </c>
      <c r="M27" s="1">
        <f>+M25+M26</f>
        <v>118</v>
      </c>
      <c r="O27" s="1">
        <f>+O25+O26</f>
        <v>724</v>
      </c>
      <c r="P27" s="1">
        <f>+P25+P26</f>
        <v>-1231</v>
      </c>
      <c r="Q27" s="1">
        <f>+Q25+Q26</f>
        <v>485</v>
      </c>
      <c r="T27" s="2"/>
    </row>
    <row r="28" spans="2:20">
      <c r="B28" t="s">
        <v>46</v>
      </c>
      <c r="G28" s="1">
        <v>18</v>
      </c>
      <c r="H28" s="1">
        <v>18</v>
      </c>
      <c r="I28" s="1">
        <v>37</v>
      </c>
      <c r="K28" s="1">
        <v>261</v>
      </c>
      <c r="L28" s="1">
        <v>96</v>
      </c>
      <c r="M28" s="1">
        <v>7</v>
      </c>
      <c r="O28" s="1">
        <v>17</v>
      </c>
      <c r="P28" s="1">
        <v>394</v>
      </c>
      <c r="Q28" s="1">
        <v>70</v>
      </c>
      <c r="T28" s="2"/>
    </row>
    <row r="29" spans="2:20">
      <c r="B29" t="s">
        <v>47</v>
      </c>
      <c r="G29" s="4">
        <f>+G27-G28</f>
        <v>-98</v>
      </c>
      <c r="H29" s="4">
        <f>+H27-H28</f>
        <v>-98</v>
      </c>
      <c r="I29" s="4">
        <f>+I27-I28</f>
        <v>-243</v>
      </c>
      <c r="K29" s="4">
        <f>+K27-K28</f>
        <v>369</v>
      </c>
      <c r="L29" s="4">
        <f>+L27-L28</f>
        <v>247</v>
      </c>
      <c r="M29" s="4">
        <f>+M27-M28</f>
        <v>111</v>
      </c>
      <c r="N29" s="2"/>
      <c r="O29" s="4">
        <f>+O27-O28</f>
        <v>707</v>
      </c>
      <c r="P29" s="4">
        <f>+P27-P28</f>
        <v>-1625</v>
      </c>
      <c r="Q29" s="4">
        <f>+Q27-Q28</f>
        <v>415</v>
      </c>
      <c r="T29" s="2"/>
    </row>
    <row r="30" spans="2:20" s="15" customFormat="1">
      <c r="B30" s="15" t="s">
        <v>48</v>
      </c>
      <c r="G30" s="5">
        <f>+G29/G31</f>
        <v>-0.41880341880341881</v>
      </c>
      <c r="H30" s="5">
        <f>+H29/H31</f>
        <v>-0.41880341880341881</v>
      </c>
      <c r="I30" s="5">
        <f>+I29/I31</f>
        <v>-1.0474137931034482</v>
      </c>
      <c r="K30" s="5">
        <f>+K29/K31</f>
        <v>1.3820224719101124</v>
      </c>
      <c r="L30" s="5">
        <f>+L29/L31</f>
        <v>0.9285714285714286</v>
      </c>
      <c r="M30" s="5">
        <f>+M29/M31</f>
        <v>0.4157303370786517</v>
      </c>
      <c r="N30" s="5"/>
      <c r="O30" s="5">
        <f>+O29/O31</f>
        <v>2.6088560885608856</v>
      </c>
      <c r="P30" s="5">
        <f>+P29/P31</f>
        <v>-5.8453237410071939</v>
      </c>
      <c r="Q30" s="5">
        <f>+Q29/Q31</f>
        <v>0.94965675057208243</v>
      </c>
      <c r="T30" s="5"/>
    </row>
    <row r="31" spans="2:20">
      <c r="B31" s="1" t="s">
        <v>2</v>
      </c>
      <c r="G31" s="4">
        <v>234</v>
      </c>
      <c r="H31" s="4">
        <v>234</v>
      </c>
      <c r="I31" s="4">
        <v>232</v>
      </c>
      <c r="K31" s="4">
        <v>267</v>
      </c>
      <c r="L31" s="4">
        <v>266</v>
      </c>
      <c r="M31" s="4">
        <v>267</v>
      </c>
      <c r="N31" s="2"/>
      <c r="O31" s="4">
        <v>271</v>
      </c>
      <c r="P31" s="4">
        <v>278</v>
      </c>
      <c r="Q31" s="4">
        <v>437</v>
      </c>
      <c r="T31" s="2"/>
    </row>
    <row r="32" spans="2:20">
      <c r="G32" s="2"/>
      <c r="H32" s="2"/>
      <c r="I32" s="2"/>
      <c r="K32" s="2"/>
      <c r="L32" s="2"/>
      <c r="M32" s="2"/>
      <c r="O32" s="2"/>
      <c r="P32" s="2"/>
      <c r="Q32" s="2"/>
      <c r="T32" s="2"/>
    </row>
    <row r="33" spans="2:20">
      <c r="B33" s="6" t="s">
        <v>49</v>
      </c>
      <c r="G33" s="9" t="e">
        <f>+G14/C14-1</f>
        <v>#DIV/0!</v>
      </c>
      <c r="H33" s="9" t="e">
        <f>+H14/D14-1</f>
        <v>#DIV/0!</v>
      </c>
      <c r="I33" s="9" t="e">
        <f>+I14/E14-1</f>
        <v>#DIV/0!</v>
      </c>
      <c r="K33" s="9">
        <f>+K14/G14-1</f>
        <v>0.11111111111111116</v>
      </c>
      <c r="L33" s="9">
        <f>+L14/H14-1</f>
        <v>0.53333333333333344</v>
      </c>
      <c r="M33" s="9">
        <f>+M14/I14-1</f>
        <v>0.50980392156862742</v>
      </c>
      <c r="N33" s="9">
        <f>+N14/I14-1</f>
        <v>-1</v>
      </c>
      <c r="O33" s="9">
        <f>+O14/K14-1</f>
        <v>0.45999999999999996</v>
      </c>
      <c r="P33" s="9">
        <f>+P14/L14-1</f>
        <v>0.11594202898550732</v>
      </c>
      <c r="Q33" s="9">
        <f>+Q14/M14-1</f>
        <v>-2.5974025974025983E-2</v>
      </c>
      <c r="T33" s="8"/>
    </row>
    <row r="34" spans="2:20">
      <c r="G34" s="4"/>
      <c r="H34" s="4"/>
      <c r="I34" s="4"/>
      <c r="K34" s="4"/>
      <c r="L34" s="4"/>
      <c r="M34" s="4"/>
      <c r="O34" s="4"/>
      <c r="P34" s="4"/>
      <c r="Q34" s="4"/>
      <c r="T34" s="4"/>
    </row>
    <row r="36" spans="2:20">
      <c r="T36" s="9"/>
    </row>
    <row r="37" spans="2:20">
      <c r="B37" s="1" t="s">
        <v>50</v>
      </c>
      <c r="G37" s="1">
        <f>5100+26+400</f>
        <v>5526</v>
      </c>
      <c r="H37" s="1">
        <f>5100+26+400</f>
        <v>5526</v>
      </c>
      <c r="I37" s="1">
        <f>5100+26+400</f>
        <v>5526</v>
      </c>
      <c r="K37" s="1">
        <f>7539+2153+69</f>
        <v>9761</v>
      </c>
      <c r="L37" s="1">
        <f>6711+33+860</f>
        <v>7604</v>
      </c>
      <c r="M37" s="1">
        <f>7539+2153+69</f>
        <v>9761</v>
      </c>
      <c r="O37" s="1">
        <f>8051+55+2225</f>
        <v>10331</v>
      </c>
      <c r="P37" s="1">
        <f>7539+2153+69</f>
        <v>9761</v>
      </c>
      <c r="Q37" s="1">
        <f>8676+79+3697</f>
        <v>12452</v>
      </c>
      <c r="T37" s="9"/>
    </row>
    <row r="38" spans="2:20">
      <c r="B38" s="1" t="s">
        <v>51</v>
      </c>
      <c r="G38" s="1">
        <f>3474+455</f>
        <v>3929</v>
      </c>
      <c r="H38" s="1">
        <f>3474+455</f>
        <v>3929</v>
      </c>
      <c r="I38" s="1">
        <f>3474+455</f>
        <v>3929</v>
      </c>
      <c r="K38" s="1">
        <f>5121+951</f>
        <v>6072</v>
      </c>
      <c r="L38" s="1">
        <f>5201+106</f>
        <v>5307</v>
      </c>
      <c r="M38" s="1">
        <f>5121+951</f>
        <v>6072</v>
      </c>
      <c r="O38" s="1">
        <f>5369+597</f>
        <v>5966</v>
      </c>
      <c r="P38" s="1">
        <f>5121+951</f>
        <v>6072</v>
      </c>
      <c r="Q38" s="1">
        <v>5672</v>
      </c>
    </row>
    <row r="39" spans="2:20">
      <c r="B39" s="1" t="s">
        <v>52</v>
      </c>
      <c r="G39" s="1">
        <v>455</v>
      </c>
      <c r="H39" s="1">
        <v>455</v>
      </c>
      <c r="I39" s="1">
        <v>455</v>
      </c>
      <c r="K39" s="1">
        <f>125+1838</f>
        <v>1963</v>
      </c>
      <c r="L39" s="1">
        <f>1522+231</f>
        <v>1753</v>
      </c>
      <c r="M39" s="1">
        <f>125+1838</f>
        <v>1963</v>
      </c>
      <c r="O39" s="1">
        <f>67+1268</f>
        <v>1335</v>
      </c>
      <c r="P39" s="1">
        <f>125+1838</f>
        <v>1963</v>
      </c>
      <c r="Q39" s="1">
        <v>161</v>
      </c>
    </row>
    <row r="40" spans="2:20">
      <c r="B40" s="1" t="s">
        <v>53</v>
      </c>
      <c r="G40" s="1">
        <v>0</v>
      </c>
      <c r="H40" s="1">
        <v>0</v>
      </c>
      <c r="I40" s="1">
        <v>0</v>
      </c>
      <c r="K40" s="1">
        <v>803</v>
      </c>
      <c r="L40" s="1">
        <v>529</v>
      </c>
      <c r="M40" s="1">
        <v>803</v>
      </c>
      <c r="O40" s="1">
        <v>454</v>
      </c>
      <c r="P40" s="1">
        <v>803</v>
      </c>
      <c r="Q40" s="1">
        <v>859</v>
      </c>
    </row>
    <row r="41" spans="2:20">
      <c r="B41" s="1" t="s">
        <v>54</v>
      </c>
      <c r="G41" s="1"/>
      <c r="H41" s="1"/>
      <c r="I41" s="1"/>
      <c r="K41" s="1"/>
      <c r="L41" s="1"/>
      <c r="M41" s="1"/>
      <c r="O41" s="1"/>
      <c r="P41" s="1"/>
      <c r="Q41" s="1">
        <v>1017</v>
      </c>
    </row>
    <row r="42" spans="2:20">
      <c r="B42" s="1" t="s">
        <v>55</v>
      </c>
      <c r="G42" s="1"/>
      <c r="H42" s="1"/>
      <c r="I42" s="1"/>
      <c r="K42" s="1"/>
      <c r="L42" s="1"/>
      <c r="M42" s="1"/>
      <c r="O42" s="1"/>
      <c r="P42" s="1"/>
      <c r="Q42" s="1">
        <v>346</v>
      </c>
    </row>
    <row r="43" spans="2:20">
      <c r="B43" s="1" t="s">
        <v>56</v>
      </c>
      <c r="G43" s="1">
        <v>397</v>
      </c>
      <c r="H43" s="1">
        <v>397</v>
      </c>
      <c r="I43" s="1">
        <v>397</v>
      </c>
      <c r="K43" s="1">
        <v>222</v>
      </c>
      <c r="L43" s="1">
        <v>280</v>
      </c>
      <c r="M43" s="1">
        <v>222</v>
      </c>
      <c r="O43" s="1">
        <v>245</v>
      </c>
      <c r="P43" s="1">
        <v>222</v>
      </c>
      <c r="Q43" s="1">
        <v>308</v>
      </c>
    </row>
    <row r="44" spans="2:20">
      <c r="B44" s="1" t="s">
        <v>57</v>
      </c>
      <c r="G44" s="1"/>
      <c r="H44" s="1"/>
      <c r="I44" s="1"/>
      <c r="K44" s="1"/>
      <c r="L44" s="1"/>
      <c r="M44" s="1"/>
      <c r="O44" s="1"/>
      <c r="P44" s="1"/>
      <c r="Q44" s="1">
        <v>1093</v>
      </c>
    </row>
    <row r="45" spans="2:20">
      <c r="B45" s="1" t="s">
        <v>58</v>
      </c>
      <c r="G45" s="1">
        <v>157</v>
      </c>
      <c r="H45" s="1">
        <v>157</v>
      </c>
      <c r="I45" s="1">
        <v>157</v>
      </c>
      <c r="K45" s="1">
        <v>279</v>
      </c>
      <c r="L45" s="1">
        <v>379</v>
      </c>
      <c r="M45" s="1">
        <v>279</v>
      </c>
      <c r="O45" s="1">
        <v>151</v>
      </c>
      <c r="P45" s="1">
        <v>279</v>
      </c>
      <c r="Q45" s="1">
        <v>184</v>
      </c>
    </row>
    <row r="46" spans="2:20">
      <c r="B46" s="1" t="s">
        <v>59</v>
      </c>
      <c r="G46" s="1"/>
      <c r="H46" s="1"/>
      <c r="I46" s="1"/>
      <c r="K46" s="1"/>
      <c r="L46" s="1"/>
      <c r="M46" s="1"/>
      <c r="O46" s="1"/>
      <c r="P46" s="1"/>
      <c r="Q46" s="1">
        <v>2598</v>
      </c>
    </row>
    <row r="47" spans="2:20">
      <c r="B47" s="1" t="s">
        <v>60</v>
      </c>
      <c r="G47" s="1">
        <v>0</v>
      </c>
      <c r="H47" s="1">
        <v>0</v>
      </c>
      <c r="I47" s="1">
        <v>0</v>
      </c>
      <c r="K47" s="1">
        <v>1933</v>
      </c>
      <c r="L47" s="1">
        <v>1522</v>
      </c>
      <c r="M47" s="1">
        <v>1933</v>
      </c>
      <c r="O47" s="1">
        <v>0</v>
      </c>
      <c r="P47" s="1">
        <v>1933</v>
      </c>
      <c r="Q47" s="1">
        <v>402</v>
      </c>
    </row>
    <row r="48" spans="2:20">
      <c r="B48" t="s">
        <v>61</v>
      </c>
      <c r="C48" s="10"/>
      <c r="G48" s="1">
        <v>0</v>
      </c>
      <c r="H48" s="1">
        <v>0</v>
      </c>
      <c r="I48" s="1">
        <v>0</v>
      </c>
      <c r="K48" s="1">
        <v>541</v>
      </c>
      <c r="L48" s="1">
        <v>879</v>
      </c>
      <c r="M48" s="1">
        <v>541</v>
      </c>
      <c r="O48" s="1">
        <v>995</v>
      </c>
      <c r="P48" s="1">
        <v>541</v>
      </c>
      <c r="Q48" s="1">
        <v>324</v>
      </c>
    </row>
    <row r="49" spans="2:17">
      <c r="B49" t="s">
        <v>62</v>
      </c>
      <c r="C49" s="10"/>
      <c r="G49" s="1">
        <v>15</v>
      </c>
      <c r="H49" s="1">
        <v>15</v>
      </c>
      <c r="I49" s="1">
        <v>15</v>
      </c>
      <c r="K49" s="1"/>
      <c r="L49" s="1"/>
      <c r="M49" s="1"/>
      <c r="O49" s="1"/>
      <c r="P49" s="1"/>
      <c r="Q49" s="1"/>
    </row>
    <row r="50" spans="2:17">
      <c r="B50" t="s">
        <v>63</v>
      </c>
      <c r="C50" s="10"/>
      <c r="G50" s="1">
        <v>202</v>
      </c>
      <c r="H50" s="1">
        <v>202</v>
      </c>
      <c r="I50" s="1">
        <v>202</v>
      </c>
      <c r="K50" s="1"/>
      <c r="L50" s="1"/>
      <c r="M50" s="1"/>
      <c r="O50" s="1"/>
      <c r="P50" s="1"/>
      <c r="Q50" s="1"/>
    </row>
    <row r="51" spans="2:17">
      <c r="B51" t="s">
        <v>64</v>
      </c>
      <c r="C51" s="10"/>
      <c r="G51" s="1">
        <v>1139</v>
      </c>
      <c r="H51" s="1">
        <v>1139</v>
      </c>
      <c r="I51" s="1">
        <v>1139</v>
      </c>
      <c r="K51" s="1">
        <v>1153</v>
      </c>
      <c r="L51" s="1">
        <v>1139</v>
      </c>
      <c r="M51" s="1">
        <v>1153</v>
      </c>
      <c r="O51" s="1">
        <v>1153</v>
      </c>
      <c r="P51" s="1">
        <v>1153</v>
      </c>
      <c r="Q51" s="1">
        <v>4004</v>
      </c>
    </row>
    <row r="52" spans="2:17">
      <c r="B52" t="s">
        <v>65</v>
      </c>
      <c r="C52" s="10"/>
      <c r="G52" s="1">
        <v>94</v>
      </c>
      <c r="H52" s="1">
        <v>94</v>
      </c>
      <c r="I52" s="1">
        <v>94</v>
      </c>
      <c r="K52" s="1"/>
      <c r="L52" s="1"/>
      <c r="M52" s="1"/>
      <c r="O52" s="1"/>
      <c r="P52" s="1"/>
      <c r="Q52" s="1">
        <v>1417</v>
      </c>
    </row>
    <row r="53" spans="2:17">
      <c r="B53" t="s">
        <v>66</v>
      </c>
      <c r="C53" s="10"/>
      <c r="G53" s="1">
        <v>1478</v>
      </c>
      <c r="H53" s="1">
        <v>1478</v>
      </c>
      <c r="I53" s="1">
        <v>1478</v>
      </c>
      <c r="K53" s="1">
        <v>517</v>
      </c>
      <c r="L53" s="1">
        <v>653</v>
      </c>
      <c r="M53" s="1">
        <v>517</v>
      </c>
      <c r="O53" s="1">
        <v>860</v>
      </c>
      <c r="P53" s="1">
        <v>517</v>
      </c>
      <c r="Q53" s="1">
        <v>513</v>
      </c>
    </row>
    <row r="54" spans="2:17">
      <c r="B54" s="12" t="s">
        <v>67</v>
      </c>
      <c r="G54" s="12">
        <f t="shared" ref="G54:P54" si="0">SUM(G37:G53)</f>
        <v>13392</v>
      </c>
      <c r="H54" s="12">
        <f t="shared" si="0"/>
        <v>13392</v>
      </c>
      <c r="I54" s="12">
        <f t="shared" si="0"/>
        <v>13392</v>
      </c>
      <c r="J54" s="12">
        <f t="shared" si="0"/>
        <v>0</v>
      </c>
      <c r="K54" s="12">
        <f t="shared" si="0"/>
        <v>23244</v>
      </c>
      <c r="L54" s="12">
        <f t="shared" si="0"/>
        <v>20045</v>
      </c>
      <c r="M54" s="12">
        <f t="shared" si="0"/>
        <v>23244</v>
      </c>
      <c r="N54" s="12">
        <f t="shared" si="0"/>
        <v>0</v>
      </c>
      <c r="O54" s="12">
        <f t="shared" si="0"/>
        <v>21490</v>
      </c>
      <c r="P54" s="12">
        <f t="shared" si="0"/>
        <v>23244</v>
      </c>
      <c r="Q54" s="12">
        <f>SUM(Q37:Q53)</f>
        <v>31350</v>
      </c>
    </row>
    <row r="55" spans="2:17">
      <c r="C55" s="10"/>
      <c r="G55" s="1"/>
      <c r="H55" s="1"/>
      <c r="I55" s="1"/>
      <c r="K55" s="1"/>
      <c r="L55" s="1"/>
      <c r="M55" s="1"/>
      <c r="O55" s="1"/>
      <c r="P55" s="1"/>
      <c r="Q55" s="1"/>
    </row>
    <row r="56" spans="2:17">
      <c r="B56" t="s">
        <v>68</v>
      </c>
      <c r="G56" s="1">
        <v>36</v>
      </c>
      <c r="H56" s="1">
        <v>36</v>
      </c>
      <c r="I56" s="1">
        <v>36</v>
      </c>
      <c r="K56" s="1">
        <v>68</v>
      </c>
      <c r="L56" s="1">
        <v>26</v>
      </c>
      <c r="M56" s="1">
        <v>68</v>
      </c>
      <c r="O56" s="1">
        <v>62</v>
      </c>
      <c r="P56" s="1">
        <v>68</v>
      </c>
      <c r="Q56" s="1">
        <v>69</v>
      </c>
    </row>
    <row r="57" spans="2:17">
      <c r="B57" s="1" t="s">
        <v>69</v>
      </c>
      <c r="G57" s="1">
        <f>3474</f>
        <v>3474</v>
      </c>
      <c r="H57" s="1">
        <f>3474</f>
        <v>3474</v>
      </c>
      <c r="I57" s="1">
        <f>3474</f>
        <v>3474</v>
      </c>
      <c r="K57" s="1">
        <f>5121+972</f>
        <v>6093</v>
      </c>
      <c r="L57" s="1">
        <f>5201+315</f>
        <v>5516</v>
      </c>
      <c r="M57" s="1">
        <f>5121+972</f>
        <v>6093</v>
      </c>
      <c r="O57" s="1">
        <f>5369+628</f>
        <v>5997</v>
      </c>
      <c r="P57" s="1">
        <f>5121+972</f>
        <v>6093</v>
      </c>
      <c r="Q57" s="1">
        <f>5672+1027</f>
        <v>6699</v>
      </c>
    </row>
    <row r="58" spans="2:17">
      <c r="B58" s="1" t="s">
        <v>70</v>
      </c>
      <c r="G58" s="1"/>
      <c r="H58" s="1"/>
      <c r="I58" s="1"/>
      <c r="K58" s="1"/>
      <c r="L58" s="1"/>
      <c r="M58" s="1"/>
      <c r="O58" s="1"/>
      <c r="P58" s="1"/>
      <c r="Q58" s="1">
        <v>1268</v>
      </c>
    </row>
    <row r="59" spans="2:17">
      <c r="B59" s="1" t="s">
        <v>71</v>
      </c>
      <c r="G59" s="1">
        <f>374+109</f>
        <v>483</v>
      </c>
      <c r="H59" s="1">
        <f>374+109</f>
        <v>483</v>
      </c>
      <c r="I59" s="1">
        <f>374+109</f>
        <v>483</v>
      </c>
      <c r="K59" s="1">
        <f>601+268</f>
        <v>869</v>
      </c>
      <c r="L59" s="1">
        <f>438+272</f>
        <v>710</v>
      </c>
      <c r="M59" s="1">
        <f>601+268</f>
        <v>869</v>
      </c>
      <c r="O59" s="1">
        <f>272+662</f>
        <v>934</v>
      </c>
      <c r="P59" s="1">
        <f>601+268</f>
        <v>869</v>
      </c>
      <c r="Q59" s="1">
        <f>387+835</f>
        <v>1222</v>
      </c>
    </row>
    <row r="60" spans="2:17">
      <c r="B60" s="1" t="s">
        <v>5</v>
      </c>
      <c r="G60" s="1">
        <v>3076</v>
      </c>
      <c r="H60" s="1">
        <v>3076</v>
      </c>
      <c r="I60" s="1">
        <v>3076</v>
      </c>
      <c r="K60" s="1">
        <f>2973+1266</f>
        <v>4239</v>
      </c>
      <c r="L60" s="1">
        <v>4225</v>
      </c>
      <c r="M60" s="1">
        <f>2973+1266</f>
        <v>4239</v>
      </c>
      <c r="O60" s="1">
        <v>4237</v>
      </c>
      <c r="P60" s="1">
        <f>2973+1266</f>
        <v>4239</v>
      </c>
      <c r="Q60" s="1">
        <v>5933</v>
      </c>
    </row>
    <row r="61" spans="2:17">
      <c r="B61" s="1" t="s">
        <v>72</v>
      </c>
      <c r="G61" s="1">
        <v>3</v>
      </c>
      <c r="H61" s="1">
        <v>3</v>
      </c>
      <c r="I61" s="1">
        <v>3</v>
      </c>
      <c r="K61" s="1">
        <v>176</v>
      </c>
      <c r="L61" s="1">
        <v>6</v>
      </c>
      <c r="M61" s="1">
        <v>176</v>
      </c>
      <c r="O61" s="1">
        <v>92</v>
      </c>
      <c r="P61" s="1">
        <v>176</v>
      </c>
      <c r="Q61" s="1">
        <v>205</v>
      </c>
    </row>
    <row r="62" spans="2:17">
      <c r="B62" s="1" t="s">
        <v>73</v>
      </c>
      <c r="G62" s="1">
        <f>SUM(G57:G61)</f>
        <v>7036</v>
      </c>
      <c r="H62" s="1">
        <f>SUM(H57:H61)</f>
        <v>7036</v>
      </c>
      <c r="I62" s="1">
        <f>SUM(I57:I61)</f>
        <v>7036</v>
      </c>
      <c r="K62" s="1">
        <f>SUM(K57:K61)</f>
        <v>11377</v>
      </c>
      <c r="L62" s="1">
        <f>SUM(L57:L61)</f>
        <v>10457</v>
      </c>
      <c r="M62" s="1">
        <f>SUM(M57:M61)</f>
        <v>11377</v>
      </c>
      <c r="O62" s="1">
        <f>SUM(O57:O61)</f>
        <v>11260</v>
      </c>
      <c r="P62" s="1">
        <f>SUM(P57:P61)</f>
        <v>11377</v>
      </c>
      <c r="Q62" s="1">
        <f>SUM(Q57:Q61)</f>
        <v>15327</v>
      </c>
    </row>
    <row r="63" spans="2:17">
      <c r="B63" s="1" t="s">
        <v>74</v>
      </c>
      <c r="G63" s="1">
        <f>SUM(G57:G62)</f>
        <v>14072</v>
      </c>
      <c r="H63" s="1">
        <f>SUM(H57:H62)</f>
        <v>14072</v>
      </c>
      <c r="I63" s="1">
        <f>SUM(I57:I62)</f>
        <v>14072</v>
      </c>
      <c r="K63" s="1">
        <f>SUM(K57:K62)</f>
        <v>22754</v>
      </c>
      <c r="L63" s="1">
        <f>SUM(L57:L62)</f>
        <v>20914</v>
      </c>
      <c r="M63" s="1">
        <f>SUM(M57:M62)</f>
        <v>22754</v>
      </c>
      <c r="O63" s="1">
        <f>SUM(O57:O62)</f>
        <v>22520</v>
      </c>
      <c r="P63" s="1">
        <f>SUM(P57:P62)</f>
        <v>22754</v>
      </c>
      <c r="Q63" s="1">
        <f>SUM(Q57:Q62)</f>
        <v>30654</v>
      </c>
    </row>
    <row r="64" spans="2:17">
      <c r="O64" s="1"/>
    </row>
    <row r="65" spans="2:17">
      <c r="B65" t="s">
        <v>75</v>
      </c>
      <c r="G65" s="1">
        <v>928</v>
      </c>
      <c r="H65" s="1">
        <v>928</v>
      </c>
      <c r="I65" s="1">
        <v>928</v>
      </c>
      <c r="K65" s="1">
        <v>145</v>
      </c>
      <c r="L65" s="1">
        <v>411</v>
      </c>
      <c r="M65" s="1">
        <v>145</v>
      </c>
      <c r="O65" s="1">
        <v>182</v>
      </c>
      <c r="P65" s="1">
        <v>145</v>
      </c>
      <c r="Q65" s="1">
        <v>638</v>
      </c>
    </row>
    <row r="66" spans="2:17">
      <c r="B66" t="s">
        <v>76</v>
      </c>
      <c r="G66" s="1">
        <v>222</v>
      </c>
      <c r="H66" s="1">
        <v>222</v>
      </c>
      <c r="I66" s="1">
        <v>222</v>
      </c>
      <c r="K66" s="1">
        <v>222</v>
      </c>
      <c r="L66" s="1">
        <v>222</v>
      </c>
      <c r="M66" s="1">
        <v>222</v>
      </c>
      <c r="O66" s="1">
        <v>245</v>
      </c>
      <c r="P66" s="1">
        <v>222</v>
      </c>
      <c r="Q66" s="1"/>
    </row>
    <row r="67" spans="2:17">
      <c r="B67" t="s">
        <v>77</v>
      </c>
      <c r="C67">
        <f t="shared" ref="C67:N67" si="1">+C66+C65</f>
        <v>0</v>
      </c>
      <c r="D67">
        <f t="shared" si="1"/>
        <v>0</v>
      </c>
      <c r="E67">
        <f t="shared" si="1"/>
        <v>0</v>
      </c>
      <c r="F67">
        <f t="shared" si="1"/>
        <v>0</v>
      </c>
      <c r="G67" s="1">
        <f>+G66+G65</f>
        <v>1150</v>
      </c>
      <c r="H67" s="1">
        <f>+H66+H65</f>
        <v>1150</v>
      </c>
      <c r="I67" s="1">
        <f>+I66+I65</f>
        <v>1150</v>
      </c>
      <c r="K67" s="1">
        <f>+K66+K65</f>
        <v>367</v>
      </c>
      <c r="L67" s="1">
        <f>+L66+L65</f>
        <v>633</v>
      </c>
      <c r="M67" s="1">
        <f>+M66+M65</f>
        <v>367</v>
      </c>
      <c r="N67">
        <f t="shared" si="1"/>
        <v>0</v>
      </c>
      <c r="O67" s="1">
        <f>+O66+O65</f>
        <v>427</v>
      </c>
      <c r="P67" s="1">
        <f>+P66+P65</f>
        <v>367</v>
      </c>
      <c r="Q67" s="1"/>
    </row>
    <row r="68" spans="2:17">
      <c r="L68" s="1"/>
      <c r="O68" s="1"/>
    </row>
    <row r="69" spans="2:17">
      <c r="O69" s="1"/>
    </row>
    <row r="70" spans="2:17">
      <c r="O70" s="1"/>
    </row>
    <row r="71" spans="2:17">
      <c r="O71" s="1"/>
    </row>
    <row r="72" spans="2:17">
      <c r="O72" s="1"/>
    </row>
    <row r="73" spans="2:17">
      <c r="O73" s="1"/>
    </row>
    <row r="74" spans="2:17">
      <c r="O74" s="1"/>
    </row>
    <row r="75" spans="2:17">
      <c r="O75" s="1"/>
    </row>
    <row r="76" spans="2:17">
      <c r="O76" s="1"/>
    </row>
    <row r="77" spans="2:17">
      <c r="O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2025-10-14T15:05:22Z</dcterms:created>
  <dcterms:modified xsi:type="dcterms:W3CDTF">2025-11-01T05:25:45Z</dcterms:modified>
  <cp:category/>
  <cp:contentStatus/>
</cp:coreProperties>
</file>