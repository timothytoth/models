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/>
  <xr:revisionPtr revIDLastSave="303" documentId="11_0B1D56BE9CDCCE836B02CE7A5FB0D4A9BBFD1C62" xr6:coauthVersionLast="47" xr6:coauthVersionMax="47" xr10:uidLastSave="{C95D41B9-7884-409D-B3D6-42B6FB254107}"/>
  <bookViews>
    <workbookView xWindow="240" yWindow="105" windowWidth="14805" windowHeight="8010" firstSheet="1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1" i="2" l="1"/>
  <c r="N5" i="2"/>
  <c r="N4" i="2"/>
  <c r="N3" i="2"/>
  <c r="N51" i="2"/>
  <c r="N52" i="2" s="1"/>
  <c r="N42" i="2"/>
  <c r="N19" i="2"/>
  <c r="N13" i="2"/>
  <c r="N8" i="2"/>
  <c r="N14" i="2" s="1"/>
  <c r="K19" i="2"/>
  <c r="K13" i="2"/>
  <c r="K8" i="2"/>
  <c r="K14" i="2" s="1"/>
  <c r="K20" i="2" s="1"/>
  <c r="K22" i="2" s="1"/>
  <c r="K24" i="2" s="1"/>
  <c r="K25" i="2" s="1"/>
  <c r="L19" i="2"/>
  <c r="O13" i="2"/>
  <c r="M13" i="2"/>
  <c r="L13" i="2"/>
  <c r="L8" i="2"/>
  <c r="L14" i="2" s="1"/>
  <c r="L20" i="2" s="1"/>
  <c r="L22" i="2" s="1"/>
  <c r="L24" i="2" s="1"/>
  <c r="L25" i="2" s="1"/>
  <c r="M19" i="2"/>
  <c r="M8" i="2"/>
  <c r="M14" i="2" s="1"/>
  <c r="O31" i="2"/>
  <c r="O51" i="2"/>
  <c r="O52" i="2" s="1"/>
  <c r="O42" i="2"/>
  <c r="O19" i="2"/>
  <c r="O8" i="2"/>
  <c r="O14" i="2" s="1"/>
  <c r="P51" i="2"/>
  <c r="P52" i="2" s="1"/>
  <c r="P31" i="2"/>
  <c r="P42" i="2" s="1"/>
  <c r="P19" i="2"/>
  <c r="P13" i="2"/>
  <c r="P8" i="2"/>
  <c r="P14" i="2" s="1"/>
  <c r="G7" i="1"/>
  <c r="G5" i="1"/>
  <c r="G4" i="1"/>
  <c r="G3" i="1"/>
  <c r="N29" i="2" l="1"/>
  <c r="N20" i="2"/>
  <c r="N22" i="2" s="1"/>
  <c r="N24" i="2" s="1"/>
  <c r="N25" i="2" s="1"/>
  <c r="M29" i="2"/>
  <c r="M20" i="2"/>
  <c r="M22" i="2" s="1"/>
  <c r="M24" i="2" s="1"/>
  <c r="M25" i="2" s="1"/>
  <c r="P20" i="2"/>
  <c r="P22" i="2" s="1"/>
  <c r="P24" i="2" s="1"/>
  <c r="P25" i="2" s="1"/>
  <c r="P29" i="2"/>
  <c r="O29" i="2"/>
  <c r="O20" i="2"/>
  <c r="O22" i="2" s="1"/>
  <c r="O24" i="2" s="1"/>
  <c r="O25" i="2" s="1"/>
</calcChain>
</file>

<file path=xl/sharedStrings.xml><?xml version="1.0" encoding="utf-8"?>
<sst xmlns="http://schemas.openxmlformats.org/spreadsheetml/2006/main" count="70" uniqueCount="66">
  <si>
    <t>Hyperscale data</t>
  </si>
  <si>
    <t>price</t>
  </si>
  <si>
    <t>$GPUS</t>
  </si>
  <si>
    <t>shares</t>
  </si>
  <si>
    <t>mc</t>
  </si>
  <si>
    <t>cash</t>
  </si>
  <si>
    <t>debt</t>
  </si>
  <si>
    <t>ev</t>
  </si>
  <si>
    <t>Main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</si>
  <si>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</si>
  <si>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</si>
  <si>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</si>
  <si>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</si>
  <si>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</si>
  <si>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</si>
  <si>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</si>
  <si>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</si>
  <si>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</si>
  <si>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</si>
  <si>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</si>
  <si>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</si>
  <si>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</si>
  <si>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</si>
  <si>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Crane Operations</t>
  </si>
  <si>
    <t>crypto assets mining</t>
  </si>
  <si>
    <t>hotel and real estate</t>
  </si>
  <si>
    <t>lending and trading activities</t>
  </si>
  <si>
    <t>other</t>
  </si>
  <si>
    <t>Revenue</t>
  </si>
  <si>
    <t>COGS</t>
  </si>
  <si>
    <t>Gross Profit</t>
  </si>
  <si>
    <t>r&amp;d</t>
  </si>
  <si>
    <t>s&amp;m</t>
  </si>
  <si>
    <t>g&amp;a</t>
  </si>
  <si>
    <t>pp&amp;e</t>
  </si>
  <si>
    <t>Operating Expenses</t>
  </si>
  <si>
    <t>Operating Income</t>
  </si>
  <si>
    <t>Interest Income</t>
  </si>
  <si>
    <t>Pretax Income</t>
  </si>
  <si>
    <t>Taxes</t>
  </si>
  <si>
    <t>Net Income</t>
  </si>
  <si>
    <t>EPS</t>
  </si>
  <si>
    <t>Shares</t>
  </si>
  <si>
    <t>Revenue Growth y/y</t>
  </si>
  <si>
    <t>Gross Margin</t>
  </si>
  <si>
    <t>Cash &amp; equilivants</t>
  </si>
  <si>
    <t>AR</t>
  </si>
  <si>
    <t>Inventories</t>
  </si>
  <si>
    <t>investment promissory notes</t>
  </si>
  <si>
    <t>loans receivable</t>
  </si>
  <si>
    <t>pre paid expenses</t>
  </si>
  <si>
    <t>intaglible assets</t>
  </si>
  <si>
    <t>p&amp;e</t>
  </si>
  <si>
    <t>rou</t>
  </si>
  <si>
    <t>ncli</t>
  </si>
  <si>
    <t>Other</t>
  </si>
  <si>
    <t>Assets</t>
  </si>
  <si>
    <t>Accounts payable</t>
  </si>
  <si>
    <t>operating lease liability</t>
  </si>
  <si>
    <t>notes payable</t>
  </si>
  <si>
    <t>convertible notes</t>
  </si>
  <si>
    <t>guarentee liability</t>
  </si>
  <si>
    <t>nc operating lease liability</t>
  </si>
  <si>
    <t>nc notes payable</t>
  </si>
  <si>
    <t>SE</t>
  </si>
  <si>
    <t>L +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</si>
</sst>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3" fontId="0" fillId="0" borderId="0" xfId="0" applyNumberFormat="1"/>
    <xf numFmtId="3" fontId="1" fillId="0" borderId="0" xfId="0" applyNumberFormat="1" applyFont="1"/>
    <xf numFmtId="9" fontId="1" fillId="0" borderId="0" xfId="0" applyNumberFormat="1" applyFont="1"/>
    <xf numFmtId="1" fontId="0" fillId="0" borderId="0" xfId="0" applyNumberFormat="1"/>
    <xf numFmtId="2" fontId="1" fillId="0" borderId="0" xfId="0" applyNumberFormat="1" applyFont="1"/>
    <xf numFmtId="0" fontId="0" fillId="2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G7"/>
  <sheetViews>
    <sheetView workbookViewId="0">
      <selection activeCell="F9" sqref="F9"/>
    </sheetView>
  </sheetViews>
  <sheetFormatPr defaultRowHeight="15"/>
  <sheetData>
    <row r="2" spans="3:7">
      <c r="C2" t="s">
        <v>0</v>
      </c>
      <c r="F2" t="s">
        <v>1</v>
      </c>
      <c r="G2">
        <v>0.61</v>
      </c>
    </row>
    <row r="3" spans="3:7">
      <c r="C3" t="s">
        <v>2</v>
      </c>
      <c r="F3" t="s">
        <v>3</v>
      </c>
      <c r="G3">
        <f>27+5</f>
        <v>32</v>
      </c>
    </row>
    <row r="4" spans="3:7">
      <c r="F4" t="s">
        <v>4</v>
      </c>
      <c r="G4">
        <f>+G2*G3</f>
        <v>19.52</v>
      </c>
    </row>
    <row r="5" spans="3:7">
      <c r="F5" t="s">
        <v>5</v>
      </c>
      <c r="G5">
        <f>6+21</f>
        <v>27</v>
      </c>
    </row>
    <row r="6" spans="3:7">
      <c r="F6" t="s">
        <v>6</v>
      </c>
      <c r="G6">
        <v>20</v>
      </c>
    </row>
    <row r="7" spans="3:7">
      <c r="F7" t="s">
        <v>7</v>
      </c>
      <c r="G7">
        <f>+G4+G6-G5</f>
        <v>12.519999999999996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037B9-EDA5-4FCB-A106-34FA4786B639}">
  <dimension ref="A1:P52"/>
  <sheetViews>
    <sheetView tabSelected="1" workbookViewId="0">
      <pane xSplit="2" ySplit="2" topLeftCell="H3" activePane="bottomRight" state="frozen"/>
      <selection pane="bottomRight" activeCell="P4" sqref="P4"/>
      <selection pane="bottomLeft"/>
      <selection pane="topRight"/>
    </sheetView>
  </sheetViews>
  <sheetFormatPr defaultRowHeight="15"/>
  <cols>
    <col min="2" max="2" width="26.42578125" bestFit="1" customWidth="1"/>
  </cols>
  <sheetData>
    <row r="1" spans="1:16">
      <c r="A1" t="s">
        <v>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8" t="s">
        <v>18</v>
      </c>
      <c r="M2" s="1" t="s">
        <v>19</v>
      </c>
      <c r="N2" s="1" t="s">
        <v>20</v>
      </c>
      <c r="O2" s="1" t="s">
        <v>21</v>
      </c>
      <c r="P2" s="1" t="s">
        <v>22</v>
      </c>
    </row>
    <row r="3" spans="1:16">
      <c r="B3" t="s">
        <v>23</v>
      </c>
      <c r="K3">
        <v>13</v>
      </c>
      <c r="L3">
        <v>12</v>
      </c>
      <c r="M3" s="3">
        <v>12</v>
      </c>
      <c r="N3" s="3">
        <f>47-K3-L3-M3</f>
        <v>10</v>
      </c>
      <c r="O3" s="3">
        <v>14</v>
      </c>
      <c r="P3" s="3">
        <v>12</v>
      </c>
    </row>
    <row r="4" spans="1:16">
      <c r="B4" t="s">
        <v>24</v>
      </c>
      <c r="K4">
        <v>11</v>
      </c>
      <c r="L4">
        <v>8</v>
      </c>
      <c r="M4" s="3">
        <v>5</v>
      </c>
      <c r="N4" s="3">
        <f>31-K4-L4-M4</f>
        <v>7</v>
      </c>
      <c r="O4" s="3">
        <v>5</v>
      </c>
      <c r="P4" s="3">
        <v>5</v>
      </c>
    </row>
    <row r="5" spans="1:16">
      <c r="B5" t="s">
        <v>25</v>
      </c>
      <c r="K5">
        <v>0</v>
      </c>
      <c r="L5">
        <v>5</v>
      </c>
      <c r="M5" s="3">
        <v>6</v>
      </c>
      <c r="N5" s="3">
        <f>19-K5-L5-M5</f>
        <v>8</v>
      </c>
      <c r="O5" s="3">
        <v>4</v>
      </c>
      <c r="P5" s="3">
        <v>6</v>
      </c>
    </row>
    <row r="6" spans="1:16">
      <c r="B6" t="s">
        <v>26</v>
      </c>
      <c r="K6">
        <v>9</v>
      </c>
      <c r="L6">
        <v>0</v>
      </c>
      <c r="M6" s="3">
        <v>6</v>
      </c>
      <c r="N6" s="3">
        <v>2</v>
      </c>
      <c r="O6" s="3">
        <v>2</v>
      </c>
      <c r="P6" s="3">
        <v>2</v>
      </c>
    </row>
    <row r="7" spans="1:16">
      <c r="B7" t="s">
        <v>27</v>
      </c>
      <c r="K7">
        <v>11</v>
      </c>
      <c r="L7">
        <v>13</v>
      </c>
      <c r="M7" s="3">
        <v>2</v>
      </c>
      <c r="N7" s="3">
        <v>4</v>
      </c>
      <c r="O7" s="3">
        <v>0.28000000000000003</v>
      </c>
      <c r="P7" s="3">
        <v>2</v>
      </c>
    </row>
    <row r="8" spans="1:16" s="2" customFormat="1">
      <c r="B8" s="2" t="s">
        <v>28</v>
      </c>
      <c r="K8" s="4">
        <f>SUM(K3:K7)</f>
        <v>44</v>
      </c>
      <c r="L8" s="4">
        <f>SUM(L3:L7)</f>
        <v>38</v>
      </c>
      <c r="M8" s="4">
        <f>SUM(M3:M7)</f>
        <v>31</v>
      </c>
      <c r="N8" s="4">
        <f>SUM(N3:N7)</f>
        <v>31</v>
      </c>
      <c r="O8" s="4">
        <f>SUM(O3:O7)</f>
        <v>25.28</v>
      </c>
      <c r="P8" s="4">
        <f>SUM(P3:P7)</f>
        <v>27</v>
      </c>
    </row>
    <row r="9" spans="1:16">
      <c r="B9" t="s">
        <v>23</v>
      </c>
      <c r="K9">
        <v>8</v>
      </c>
      <c r="L9">
        <v>8</v>
      </c>
      <c r="M9" s="3">
        <v>8</v>
      </c>
      <c r="N9" s="3">
        <v>8</v>
      </c>
      <c r="O9" s="3">
        <v>8</v>
      </c>
      <c r="P9" s="3">
        <v>8</v>
      </c>
    </row>
    <row r="10" spans="1:16">
      <c r="B10" t="s">
        <v>24</v>
      </c>
      <c r="K10">
        <v>9</v>
      </c>
      <c r="L10">
        <v>9</v>
      </c>
      <c r="M10" s="3">
        <v>9</v>
      </c>
      <c r="N10" s="3">
        <v>7</v>
      </c>
      <c r="O10" s="3">
        <v>7</v>
      </c>
      <c r="P10" s="3">
        <v>7</v>
      </c>
    </row>
    <row r="11" spans="1:16">
      <c r="B11" t="s">
        <v>25</v>
      </c>
      <c r="K11">
        <v>0</v>
      </c>
      <c r="L11">
        <v>3</v>
      </c>
      <c r="M11" s="3">
        <v>3</v>
      </c>
      <c r="N11" s="3">
        <v>3</v>
      </c>
      <c r="O11" s="3">
        <v>3</v>
      </c>
      <c r="P11" s="3">
        <v>3</v>
      </c>
    </row>
    <row r="12" spans="1:16">
      <c r="B12" t="s">
        <v>27</v>
      </c>
      <c r="K12">
        <v>9</v>
      </c>
      <c r="L12">
        <v>9</v>
      </c>
      <c r="M12" s="3">
        <v>1</v>
      </c>
      <c r="N12" s="3">
        <v>2</v>
      </c>
      <c r="O12" s="3">
        <v>2</v>
      </c>
      <c r="P12" s="3">
        <v>1</v>
      </c>
    </row>
    <row r="13" spans="1:16" s="2" customFormat="1">
      <c r="B13" s="2" t="s">
        <v>29</v>
      </c>
      <c r="K13" s="4">
        <f>SUM(K9:K12)</f>
        <v>26</v>
      </c>
      <c r="L13" s="4">
        <f>SUM(L9:L12)</f>
        <v>29</v>
      </c>
      <c r="M13" s="4">
        <f>SUM(M9:M12)</f>
        <v>21</v>
      </c>
      <c r="N13" s="4">
        <f>SUM(N9:N12)</f>
        <v>20</v>
      </c>
      <c r="O13" s="4">
        <f>SUM(O9:O12)</f>
        <v>20</v>
      </c>
      <c r="P13" s="4">
        <f>SUM(P9:P12)</f>
        <v>19</v>
      </c>
    </row>
    <row r="14" spans="1:16" s="2" customFormat="1">
      <c r="B14" s="2" t="s">
        <v>30</v>
      </c>
      <c r="K14" s="4">
        <f>+K8-K13</f>
        <v>18</v>
      </c>
      <c r="L14" s="4">
        <f>+L8-L13</f>
        <v>9</v>
      </c>
      <c r="M14" s="4">
        <f>+M8-M13</f>
        <v>10</v>
      </c>
      <c r="N14" s="4">
        <f>+N8-N13</f>
        <v>11</v>
      </c>
      <c r="O14" s="4">
        <f>+O8-O13</f>
        <v>5.2800000000000011</v>
      </c>
      <c r="P14" s="4">
        <f>+P8-P13</f>
        <v>8</v>
      </c>
    </row>
    <row r="15" spans="1:16">
      <c r="B15" t="s">
        <v>31</v>
      </c>
      <c r="K15">
        <v>1</v>
      </c>
      <c r="L15">
        <v>1</v>
      </c>
      <c r="M15" s="3">
        <v>5</v>
      </c>
      <c r="N15" s="3">
        <v>0.129</v>
      </c>
      <c r="O15" s="3">
        <v>0.129</v>
      </c>
      <c r="P15" s="3">
        <v>0.1</v>
      </c>
    </row>
    <row r="16" spans="1:16">
      <c r="B16" t="s">
        <v>32</v>
      </c>
      <c r="K16">
        <v>5</v>
      </c>
      <c r="L16">
        <v>4</v>
      </c>
      <c r="M16" s="3">
        <v>5</v>
      </c>
      <c r="N16" s="3">
        <v>2</v>
      </c>
      <c r="O16" s="3">
        <v>2</v>
      </c>
      <c r="P16" s="3">
        <v>6</v>
      </c>
    </row>
    <row r="17" spans="2:16">
      <c r="B17" t="s">
        <v>33</v>
      </c>
      <c r="K17">
        <v>13</v>
      </c>
      <c r="L17">
        <v>13</v>
      </c>
      <c r="M17" s="3">
        <v>12</v>
      </c>
      <c r="N17" s="3">
        <v>10</v>
      </c>
      <c r="O17" s="3">
        <v>10</v>
      </c>
      <c r="P17" s="3">
        <v>10</v>
      </c>
    </row>
    <row r="18" spans="2:16">
      <c r="B18" t="s">
        <v>34</v>
      </c>
      <c r="K18">
        <v>0</v>
      </c>
      <c r="L18">
        <v>8</v>
      </c>
      <c r="M18" s="3">
        <v>12</v>
      </c>
      <c r="N18" s="3">
        <v>0</v>
      </c>
      <c r="O18" s="3">
        <v>0</v>
      </c>
      <c r="P18" s="3">
        <v>0</v>
      </c>
    </row>
    <row r="19" spans="2:16" s="2" customFormat="1">
      <c r="B19" s="2" t="s">
        <v>35</v>
      </c>
      <c r="K19" s="4">
        <f>SUM(K15:K18)</f>
        <v>19</v>
      </c>
      <c r="L19" s="4">
        <f>SUM(L15:L18)</f>
        <v>26</v>
      </c>
      <c r="M19" s="4">
        <f>SUM(M15:M18)</f>
        <v>34</v>
      </c>
      <c r="N19" s="4">
        <f>SUM(N15:N18)</f>
        <v>12.129</v>
      </c>
      <c r="O19" s="4">
        <f>SUM(O15:O18)</f>
        <v>12.129</v>
      </c>
      <c r="P19" s="4">
        <f>SUM(P15:P18)</f>
        <v>16.100000000000001</v>
      </c>
    </row>
    <row r="20" spans="2:16" s="2" customFormat="1">
      <c r="B20" s="2" t="s">
        <v>36</v>
      </c>
      <c r="K20" s="4">
        <f>+K14-K19</f>
        <v>-1</v>
      </c>
      <c r="L20" s="4">
        <f>+L14-L19</f>
        <v>-17</v>
      </c>
      <c r="M20" s="4">
        <f>+M14-M19</f>
        <v>-24</v>
      </c>
      <c r="N20" s="4">
        <f>+N14-N19</f>
        <v>-1.1289999999999996</v>
      </c>
      <c r="O20" s="4">
        <f>+O14-O19</f>
        <v>-6.8489999999999984</v>
      </c>
      <c r="P20" s="4">
        <f>+P14-P19</f>
        <v>-8.1000000000000014</v>
      </c>
    </row>
    <row r="21" spans="2:16">
      <c r="B21" s="3" t="s">
        <v>37</v>
      </c>
      <c r="K21">
        <v>5</v>
      </c>
      <c r="L21">
        <v>5</v>
      </c>
      <c r="M21" s="6">
        <v>8</v>
      </c>
      <c r="N21" s="6">
        <v>0.24</v>
      </c>
      <c r="O21" s="6">
        <v>0.24</v>
      </c>
      <c r="P21">
        <v>1</v>
      </c>
    </row>
    <row r="22" spans="2:16">
      <c r="B22" s="3" t="s">
        <v>38</v>
      </c>
      <c r="K22" s="3">
        <f>+K20-K21</f>
        <v>-6</v>
      </c>
      <c r="L22" s="3">
        <f>+L20-L21</f>
        <v>-22</v>
      </c>
      <c r="M22" s="3">
        <f>+M20-M21</f>
        <v>-32</v>
      </c>
      <c r="N22" s="3">
        <f>+N20-N21</f>
        <v>-1.3689999999999996</v>
      </c>
      <c r="O22" s="3">
        <f>+O20-O21</f>
        <v>-7.0889999999999986</v>
      </c>
      <c r="P22" s="3">
        <f>+P20-P21</f>
        <v>-9.1000000000000014</v>
      </c>
    </row>
    <row r="23" spans="2:16">
      <c r="B23" s="3" t="s">
        <v>39</v>
      </c>
      <c r="K23">
        <v>0</v>
      </c>
      <c r="L23">
        <v>0.24</v>
      </c>
      <c r="M23">
        <v>0.52</v>
      </c>
      <c r="N23">
        <v>0.59</v>
      </c>
      <c r="O23">
        <v>0.59</v>
      </c>
      <c r="P23">
        <v>0.1</v>
      </c>
    </row>
    <row r="24" spans="2:16" s="2" customFormat="1">
      <c r="B24" s="2" t="s">
        <v>40</v>
      </c>
      <c r="K24" s="4">
        <f>+K22-K23</f>
        <v>-6</v>
      </c>
      <c r="L24" s="4">
        <f>+L22-L23</f>
        <v>-22.24</v>
      </c>
      <c r="M24" s="4">
        <f>+M22-M23</f>
        <v>-32.520000000000003</v>
      </c>
      <c r="N24" s="4">
        <f>+N22-N23</f>
        <v>-1.9589999999999996</v>
      </c>
      <c r="O24" s="4">
        <f>+O22-O23</f>
        <v>-7.6789999999999985</v>
      </c>
      <c r="P24" s="4">
        <f>+P22-P23</f>
        <v>-9.2000000000000011</v>
      </c>
    </row>
    <row r="25" spans="2:16" s="2" customFormat="1">
      <c r="B25" s="2" t="s">
        <v>41</v>
      </c>
      <c r="K25" s="7">
        <f>+K24/K26</f>
        <v>-0.16216216216216217</v>
      </c>
      <c r="L25" s="7">
        <f>+L24/L26</f>
        <v>-0.67393939393939384</v>
      </c>
      <c r="M25" s="7">
        <f>+M24/M26</f>
        <v>-0.8338461538461539</v>
      </c>
      <c r="N25" s="7">
        <f>+N24/N26</f>
        <v>-0.24487499999999995</v>
      </c>
      <c r="O25" s="7">
        <f>+O24/O26</f>
        <v>-0.95987499999999981</v>
      </c>
      <c r="P25" s="2">
        <f>+P24/P26</f>
        <v>-1.1500000000000001</v>
      </c>
    </row>
    <row r="26" spans="2:16">
      <c r="B26" t="s">
        <v>42</v>
      </c>
      <c r="K26">
        <v>37</v>
      </c>
      <c r="L26">
        <v>33</v>
      </c>
      <c r="M26">
        <v>39</v>
      </c>
      <c r="N26">
        <v>8</v>
      </c>
      <c r="O26">
        <v>8</v>
      </c>
      <c r="P26">
        <v>8</v>
      </c>
    </row>
    <row r="28" spans="2:16" s="2" customFormat="1">
      <c r="B28" s="2" t="s">
        <v>43</v>
      </c>
    </row>
    <row r="29" spans="2:16" s="2" customFormat="1">
      <c r="B29" s="2" t="s">
        <v>44</v>
      </c>
      <c r="M29" s="5">
        <f>+M14/M8</f>
        <v>0.32258064516129031</v>
      </c>
      <c r="N29" s="5">
        <f>+N14/N8</f>
        <v>0.35483870967741937</v>
      </c>
      <c r="O29" s="5">
        <f>+O14/O8</f>
        <v>0.20886075949367092</v>
      </c>
      <c r="P29" s="5">
        <f>+P14/P8</f>
        <v>0.29629629629629628</v>
      </c>
    </row>
    <row r="31" spans="2:16">
      <c r="B31" t="s">
        <v>45</v>
      </c>
      <c r="N31">
        <f>5+20</f>
        <v>25</v>
      </c>
      <c r="O31">
        <f>4+20</f>
        <v>24</v>
      </c>
      <c r="P31">
        <f>6+21</f>
        <v>27</v>
      </c>
    </row>
    <row r="32" spans="2:16">
      <c r="B32" t="s">
        <v>46</v>
      </c>
      <c r="N32">
        <v>6</v>
      </c>
      <c r="O32">
        <v>9</v>
      </c>
      <c r="P32">
        <v>7</v>
      </c>
    </row>
    <row r="33" spans="2:16">
      <c r="B33" t="s">
        <v>47</v>
      </c>
      <c r="N33">
        <v>2</v>
      </c>
      <c r="O33">
        <v>1</v>
      </c>
      <c r="P33">
        <v>2</v>
      </c>
    </row>
    <row r="34" spans="2:16">
      <c r="B34" t="s">
        <v>48</v>
      </c>
      <c r="N34">
        <v>21</v>
      </c>
      <c r="O34">
        <v>20</v>
      </c>
      <c r="P34">
        <v>21</v>
      </c>
    </row>
    <row r="35" spans="2:16">
      <c r="B35" t="s">
        <v>49</v>
      </c>
      <c r="N35">
        <v>1</v>
      </c>
      <c r="O35">
        <v>1</v>
      </c>
      <c r="P35">
        <v>3</v>
      </c>
    </row>
    <row r="36" spans="2:16">
      <c r="B36" t="s">
        <v>50</v>
      </c>
      <c r="N36">
        <v>3</v>
      </c>
      <c r="O36">
        <v>2</v>
      </c>
      <c r="P36">
        <v>3</v>
      </c>
    </row>
    <row r="37" spans="2:16">
      <c r="B37" t="s">
        <v>51</v>
      </c>
      <c r="N37">
        <v>2</v>
      </c>
      <c r="O37">
        <v>2</v>
      </c>
      <c r="P37">
        <v>2</v>
      </c>
    </row>
    <row r="38" spans="2:16">
      <c r="B38" t="s">
        <v>52</v>
      </c>
      <c r="N38">
        <v>144</v>
      </c>
      <c r="O38">
        <v>141</v>
      </c>
      <c r="P38">
        <v>136</v>
      </c>
    </row>
    <row r="39" spans="2:16">
      <c r="B39" t="s">
        <v>53</v>
      </c>
      <c r="N39">
        <v>4</v>
      </c>
      <c r="O39">
        <v>4</v>
      </c>
      <c r="P39">
        <v>5</v>
      </c>
    </row>
    <row r="40" spans="2:16">
      <c r="B40" t="s">
        <v>54</v>
      </c>
      <c r="N40">
        <v>5</v>
      </c>
      <c r="O40">
        <v>5</v>
      </c>
      <c r="P40">
        <v>3</v>
      </c>
    </row>
    <row r="41" spans="2:16">
      <c r="B41" t="s">
        <v>55</v>
      </c>
      <c r="N41">
        <v>7</v>
      </c>
      <c r="O41">
        <v>7</v>
      </c>
      <c r="P41">
        <v>7</v>
      </c>
    </row>
    <row r="42" spans="2:16" s="2" customFormat="1">
      <c r="B42" s="2" t="s">
        <v>56</v>
      </c>
      <c r="N42" s="2">
        <f>SUM(N31:N41)</f>
        <v>220</v>
      </c>
      <c r="O42" s="2">
        <f>SUM(O31:O41)</f>
        <v>216</v>
      </c>
      <c r="P42" s="2">
        <f>SUM(P31:P41)</f>
        <v>216</v>
      </c>
    </row>
    <row r="43" spans="2:16">
      <c r="M43" s="3"/>
      <c r="N43" s="3"/>
      <c r="O43" s="3"/>
      <c r="P43" s="3"/>
    </row>
    <row r="44" spans="2:16">
      <c r="B44" t="s">
        <v>57</v>
      </c>
      <c r="M44" s="3"/>
      <c r="N44" s="3">
        <v>59</v>
      </c>
      <c r="O44" s="3">
        <v>53</v>
      </c>
      <c r="P44" s="3">
        <v>53</v>
      </c>
    </row>
    <row r="45" spans="2:16">
      <c r="B45" t="s">
        <v>58</v>
      </c>
      <c r="M45" s="3"/>
      <c r="N45" s="3">
        <v>2</v>
      </c>
      <c r="O45" s="3">
        <v>1</v>
      </c>
      <c r="P45" s="3">
        <v>1</v>
      </c>
    </row>
    <row r="46" spans="2:16">
      <c r="B46" t="s">
        <v>59</v>
      </c>
      <c r="M46" s="3"/>
      <c r="N46" s="3">
        <v>96</v>
      </c>
      <c r="O46" s="3">
        <v>92</v>
      </c>
      <c r="P46" s="3">
        <v>88</v>
      </c>
    </row>
    <row r="47" spans="2:16">
      <c r="B47" t="s">
        <v>60</v>
      </c>
      <c r="M47" s="3"/>
      <c r="N47" s="3">
        <v>20</v>
      </c>
      <c r="O47" s="3">
        <v>23</v>
      </c>
      <c r="P47" s="3">
        <v>21</v>
      </c>
    </row>
    <row r="48" spans="2:16">
      <c r="B48" t="s">
        <v>61</v>
      </c>
      <c r="M48" s="3"/>
      <c r="N48" s="3">
        <v>39</v>
      </c>
      <c r="O48" s="3">
        <v>39</v>
      </c>
      <c r="P48" s="3">
        <v>39</v>
      </c>
    </row>
    <row r="49" spans="2:16">
      <c r="B49" t="s">
        <v>62</v>
      </c>
      <c r="M49" s="3"/>
      <c r="N49" s="3">
        <v>2</v>
      </c>
      <c r="O49" s="3">
        <v>3</v>
      </c>
      <c r="P49" s="3">
        <v>3</v>
      </c>
    </row>
    <row r="50" spans="2:16">
      <c r="B50" t="s">
        <v>63</v>
      </c>
      <c r="M50" s="3"/>
      <c r="N50" s="3">
        <v>1</v>
      </c>
      <c r="O50" s="3">
        <v>1</v>
      </c>
      <c r="P50" s="3">
        <v>0.8</v>
      </c>
    </row>
    <row r="51" spans="2:16">
      <c r="B51" t="s">
        <v>64</v>
      </c>
      <c r="M51" s="3"/>
      <c r="N51" s="3">
        <f>SUM(N44:N50)</f>
        <v>219</v>
      </c>
      <c r="O51" s="3">
        <f>SUM(O44:O50)</f>
        <v>212</v>
      </c>
      <c r="P51" s="3">
        <f>SUM(P44:P50)</f>
        <v>205.8</v>
      </c>
    </row>
    <row r="52" spans="2:16" s="2" customFormat="1">
      <c r="B52" s="2" t="s">
        <v>65</v>
      </c>
      <c r="M52" s="4"/>
      <c r="N52" s="4">
        <f>SUM(N44:N51)</f>
        <v>438</v>
      </c>
      <c r="O52" s="4">
        <f>SUM(O44:O51)</f>
        <v>424</v>
      </c>
      <c r="P52" s="4">
        <f>SUM(P44:P51)</f>
        <v>411.6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Toth, Mr. Tim P.</cp:lastModifiedBy>
  <cp:revision/>
  <dcterms:created xsi:type="dcterms:W3CDTF">2025-10-27T23:35:14Z</dcterms:created>
  <dcterms:modified xsi:type="dcterms:W3CDTF">2025-10-28T05:55:59Z</dcterms:modified>
  <cp:category/>
  <cp:contentStatus/>
</cp:coreProperties>
</file>