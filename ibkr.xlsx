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1029" documentId="11_0B1D56BE9CDCCE836B02CE7A5FB0D4A9BBFD1C62" xr6:coauthVersionLast="47" xr6:coauthVersionMax="47" xr10:uidLastSave="{DFF583D1-8DA2-46D5-9D1D-3B186D19B08D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2" l="1"/>
  <c r="Q31" i="2"/>
  <c r="Q29" i="2"/>
  <c r="X19" i="2"/>
  <c r="Y19" i="2" s="1"/>
  <c r="Z19" i="2" s="1"/>
  <c r="AA19" i="2" s="1"/>
  <c r="AB19" i="2" s="1"/>
  <c r="AC19" i="2" s="1"/>
  <c r="X15" i="2"/>
  <c r="X14" i="2"/>
  <c r="X13" i="2"/>
  <c r="X12" i="2"/>
  <c r="X11" i="2"/>
  <c r="S19" i="2"/>
  <c r="S18" i="2"/>
  <c r="S15" i="2"/>
  <c r="S14" i="2"/>
  <c r="S13" i="2"/>
  <c r="S12" i="2"/>
  <c r="S11" i="2"/>
  <c r="S9" i="2"/>
  <c r="S20" i="2"/>
  <c r="S21" i="2"/>
  <c r="S16" i="2"/>
  <c r="R20" i="2"/>
  <c r="R21" i="2" s="1"/>
  <c r="R16" i="2"/>
  <c r="R8" i="2"/>
  <c r="Q43" i="2"/>
  <c r="Q44" i="2" s="1"/>
  <c r="Q33" i="2"/>
  <c r="Q20" i="2"/>
  <c r="Q21" i="2" s="1"/>
  <c r="Q16" i="2"/>
  <c r="Q8" i="2"/>
  <c r="Y14" i="2"/>
  <c r="Z14" i="2" s="1"/>
  <c r="AA14" i="2" s="1"/>
  <c r="AB14" i="2" s="1"/>
  <c r="AC14" i="2" s="1"/>
  <c r="Y13" i="2"/>
  <c r="Z13" i="2" s="1"/>
  <c r="AA13" i="2" s="1"/>
  <c r="AB13" i="2" s="1"/>
  <c r="AC13" i="2" s="1"/>
  <c r="Y12" i="2"/>
  <c r="Z12" i="2" s="1"/>
  <c r="AA12" i="2" s="1"/>
  <c r="AB12" i="2" s="1"/>
  <c r="AC12" i="2" s="1"/>
  <c r="Y11" i="2"/>
  <c r="Z11" i="2" s="1"/>
  <c r="AA11" i="2" s="1"/>
  <c r="AB11" i="2" s="1"/>
  <c r="AC11" i="2" s="1"/>
  <c r="X16" i="2"/>
  <c r="U20" i="2"/>
  <c r="U21" i="2" s="1"/>
  <c r="U16" i="2"/>
  <c r="U8" i="2"/>
  <c r="U10" i="2" s="1"/>
  <c r="U17" i="2" s="1"/>
  <c r="V20" i="2"/>
  <c r="V21" i="2" s="1"/>
  <c r="V16" i="2"/>
  <c r="V8" i="2"/>
  <c r="W20" i="2"/>
  <c r="W21" i="2" s="1"/>
  <c r="W16" i="2"/>
  <c r="W8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F30" i="2"/>
  <c r="F29" i="2"/>
  <c r="F19" i="2"/>
  <c r="F15" i="2"/>
  <c r="F14" i="2"/>
  <c r="F13" i="2"/>
  <c r="F12" i="2"/>
  <c r="F11" i="2"/>
  <c r="F9" i="2"/>
  <c r="F7" i="2"/>
  <c r="F6" i="2"/>
  <c r="F5" i="2"/>
  <c r="F4" i="2"/>
  <c r="F3" i="2"/>
  <c r="D30" i="2"/>
  <c r="D29" i="2"/>
  <c r="D16" i="2"/>
  <c r="E30" i="2"/>
  <c r="E29" i="2"/>
  <c r="F43" i="2"/>
  <c r="F44" i="2" s="1"/>
  <c r="E43" i="2"/>
  <c r="E44" i="2" s="1"/>
  <c r="D43" i="2"/>
  <c r="D44" i="2" s="1"/>
  <c r="C43" i="2"/>
  <c r="C44" i="2" s="1"/>
  <c r="C30" i="2"/>
  <c r="C29" i="2"/>
  <c r="F33" i="2"/>
  <c r="E33" i="2"/>
  <c r="D33" i="2"/>
  <c r="C33" i="2"/>
  <c r="F20" i="2"/>
  <c r="F21" i="2" s="1"/>
  <c r="E20" i="2"/>
  <c r="E21" i="2" s="1"/>
  <c r="D20" i="2"/>
  <c r="D21" i="2" s="1"/>
  <c r="C20" i="2"/>
  <c r="C21" i="2" s="1"/>
  <c r="F16" i="2"/>
  <c r="E16" i="2"/>
  <c r="C16" i="2"/>
  <c r="F8" i="2"/>
  <c r="E8" i="2"/>
  <c r="D8" i="2"/>
  <c r="C8" i="2"/>
  <c r="J30" i="2"/>
  <c r="J29" i="2"/>
  <c r="J43" i="2"/>
  <c r="J44" i="2" s="1"/>
  <c r="J33" i="2"/>
  <c r="J19" i="2"/>
  <c r="J15" i="2"/>
  <c r="J14" i="2"/>
  <c r="J13" i="2"/>
  <c r="J12" i="2"/>
  <c r="J11" i="2"/>
  <c r="J9" i="2"/>
  <c r="J20" i="2"/>
  <c r="J21" i="2" s="1"/>
  <c r="J16" i="2"/>
  <c r="J7" i="2"/>
  <c r="J6" i="2"/>
  <c r="J5" i="2"/>
  <c r="J4" i="2"/>
  <c r="J3" i="2"/>
  <c r="J8" i="2" s="1"/>
  <c r="G30" i="2"/>
  <c r="G29" i="2"/>
  <c r="G43" i="2"/>
  <c r="G44" i="2" s="1"/>
  <c r="G33" i="2"/>
  <c r="G20" i="2"/>
  <c r="G21" i="2" s="1"/>
  <c r="G16" i="2"/>
  <c r="G8" i="2"/>
  <c r="H30" i="2"/>
  <c r="H29" i="2"/>
  <c r="H43" i="2"/>
  <c r="H44" i="2" s="1"/>
  <c r="H33" i="2"/>
  <c r="H20" i="2"/>
  <c r="H21" i="2" s="1"/>
  <c r="H16" i="2"/>
  <c r="H8" i="2"/>
  <c r="I30" i="2"/>
  <c r="I29" i="2"/>
  <c r="I43" i="2"/>
  <c r="I44" i="2" s="1"/>
  <c r="I33" i="2"/>
  <c r="I20" i="2"/>
  <c r="I21" i="2" s="1"/>
  <c r="I16" i="2"/>
  <c r="I8" i="2"/>
  <c r="N30" i="2"/>
  <c r="N29" i="2"/>
  <c r="N19" i="2"/>
  <c r="N15" i="2"/>
  <c r="N14" i="2"/>
  <c r="N13" i="2"/>
  <c r="N12" i="2"/>
  <c r="N11" i="2"/>
  <c r="N9" i="2"/>
  <c r="N7" i="2"/>
  <c r="N6" i="2"/>
  <c r="N5" i="2"/>
  <c r="N4" i="2"/>
  <c r="N3" i="2"/>
  <c r="N43" i="2"/>
  <c r="N44" i="2" s="1"/>
  <c r="N33" i="2"/>
  <c r="N20" i="2"/>
  <c r="N21" i="2" s="1"/>
  <c r="N16" i="2"/>
  <c r="N8" i="2"/>
  <c r="K30" i="2"/>
  <c r="K29" i="2"/>
  <c r="K43" i="2"/>
  <c r="K44" i="2" s="1"/>
  <c r="K33" i="2"/>
  <c r="K20" i="2"/>
  <c r="K21" i="2" s="1"/>
  <c r="K16" i="2"/>
  <c r="K8" i="2"/>
  <c r="L30" i="2"/>
  <c r="L29" i="2"/>
  <c r="L43" i="2"/>
  <c r="L44" i="2" s="1"/>
  <c r="L33" i="2"/>
  <c r="L20" i="2"/>
  <c r="L21" i="2" s="1"/>
  <c r="L16" i="2"/>
  <c r="L8" i="2"/>
  <c r="M30" i="2"/>
  <c r="M29" i="2"/>
  <c r="M43" i="2"/>
  <c r="M44" i="2" s="1"/>
  <c r="M33" i="2"/>
  <c r="M20" i="2"/>
  <c r="M21" i="2" s="1"/>
  <c r="M16" i="2"/>
  <c r="O30" i="2"/>
  <c r="O29" i="2"/>
  <c r="P30" i="2"/>
  <c r="P29" i="2"/>
  <c r="O33" i="2"/>
  <c r="O20" i="2"/>
  <c r="O21" i="2" s="1"/>
  <c r="O16" i="2"/>
  <c r="O8" i="2"/>
  <c r="P43" i="2"/>
  <c r="P44" i="2" s="1"/>
  <c r="P33" i="2"/>
  <c r="P20" i="2"/>
  <c r="P21" i="2" s="1"/>
  <c r="P16" i="2"/>
  <c r="P8" i="2"/>
  <c r="H5" i="1"/>
  <c r="H8" i="1" s="1"/>
  <c r="W10" i="2" l="1"/>
  <c r="X8" i="2"/>
  <c r="W24" i="2"/>
  <c r="V10" i="2"/>
  <c r="V24" i="2"/>
  <c r="R10" i="2"/>
  <c r="R17" i="2" s="1"/>
  <c r="S8" i="2"/>
  <c r="S10" i="2" s="1"/>
  <c r="S17" i="2" s="1"/>
  <c r="Y16" i="2"/>
  <c r="Q10" i="2"/>
  <c r="Q17" i="2" s="1"/>
  <c r="P10" i="2"/>
  <c r="P17" i="2" s="1"/>
  <c r="P24" i="2"/>
  <c r="O10" i="2"/>
  <c r="O17" i="2" s="1"/>
  <c r="O24" i="2"/>
  <c r="L10" i="2"/>
  <c r="L17" i="2" s="1"/>
  <c r="L24" i="2"/>
  <c r="K10" i="2"/>
  <c r="K17" i="2" s="1"/>
  <c r="K24" i="2"/>
  <c r="N10" i="2"/>
  <c r="N17" i="2" s="1"/>
  <c r="N24" i="2"/>
  <c r="J10" i="2"/>
  <c r="J17" i="2" s="1"/>
  <c r="J24" i="2"/>
  <c r="C24" i="2"/>
  <c r="C10" i="2"/>
  <c r="C17" i="2" s="1"/>
  <c r="D24" i="2"/>
  <c r="D10" i="2"/>
  <c r="D17" i="2" s="1"/>
  <c r="E24" i="2"/>
  <c r="E10" i="2"/>
  <c r="E17" i="2" s="1"/>
  <c r="F24" i="2"/>
  <c r="F10" i="2"/>
  <c r="F17" i="2" s="1"/>
  <c r="G24" i="2"/>
  <c r="G10" i="2"/>
  <c r="G17" i="2" s="1"/>
  <c r="H24" i="2"/>
  <c r="H10" i="2"/>
  <c r="H17" i="2" s="1"/>
  <c r="I24" i="2"/>
  <c r="I10" i="2"/>
  <c r="I17" i="2" s="1"/>
  <c r="O43" i="2"/>
  <c r="O44" i="2" s="1"/>
  <c r="M8" i="2"/>
  <c r="M10" i="2"/>
  <c r="M17" i="2"/>
  <c r="V17" i="2" l="1"/>
  <c r="V25" i="2"/>
  <c r="X10" i="2"/>
  <c r="W25" i="2"/>
  <c r="M24" i="2"/>
  <c r="Q24" i="2"/>
  <c r="Y8" i="2"/>
  <c r="X24" i="2"/>
  <c r="W17" i="2"/>
  <c r="Z16" i="2"/>
  <c r="X17" i="2" l="1"/>
  <c r="X18" i="2" s="1"/>
  <c r="Y10" i="2"/>
  <c r="X25" i="2"/>
  <c r="X20" i="2"/>
  <c r="X21" i="2" s="1"/>
  <c r="Y25" i="2"/>
  <c r="Z8" i="2"/>
  <c r="Y24" i="2"/>
  <c r="AA16" i="2"/>
  <c r="Y17" i="2" l="1"/>
  <c r="Y18" i="2" s="1"/>
  <c r="Z10" i="2"/>
  <c r="AA8" i="2"/>
  <c r="Z24" i="2"/>
  <c r="Y20" i="2"/>
  <c r="Y21" i="2" s="1"/>
  <c r="Z25" i="2"/>
  <c r="AC16" i="2"/>
  <c r="AB16" i="2"/>
  <c r="Z17" i="2" l="1"/>
  <c r="Z18" i="2" s="1"/>
  <c r="AA10" i="2"/>
  <c r="AA25" i="2"/>
  <c r="Z20" i="2"/>
  <c r="Z21" i="2" s="1"/>
  <c r="AB8" i="2"/>
  <c r="AA24" i="2"/>
  <c r="AA17" i="2" l="1"/>
  <c r="AA18" i="2" s="1"/>
  <c r="AB10" i="2"/>
  <c r="AC8" i="2"/>
  <c r="AC24" i="2" s="1"/>
  <c r="AB24" i="2"/>
  <c r="AA20" i="2"/>
  <c r="AA21" i="2" s="1"/>
  <c r="AB25" i="2"/>
  <c r="AB17" i="2" l="1"/>
  <c r="AB18" i="2" s="1"/>
  <c r="AC10" i="2"/>
  <c r="AC17" i="2" s="1"/>
  <c r="AC18" i="2" s="1"/>
  <c r="AB20" i="2"/>
  <c r="AB21" i="2" s="1"/>
  <c r="AC20" i="2" l="1"/>
  <c r="AC25" i="2"/>
  <c r="AD20" i="2"/>
  <c r="AE20" i="2" s="1"/>
  <c r="AF20" i="2" s="1"/>
  <c r="AC21" i="2"/>
  <c r="AG20" i="2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EK20" i="2" s="1"/>
  <c r="EL20" i="2" s="1"/>
  <c r="EM20" i="2" s="1"/>
  <c r="EN20" i="2" s="1"/>
  <c r="EO20" i="2" s="1"/>
  <c r="EP20" i="2" s="1"/>
  <c r="EQ20" i="2" s="1"/>
  <c r="ER20" i="2" s="1"/>
  <c r="ES20" i="2" s="1"/>
  <c r="ET20" i="2" s="1"/>
  <c r="EU20" i="2" s="1"/>
  <c r="EV20" i="2" s="1"/>
  <c r="EW20" i="2" s="1"/>
  <c r="EX20" i="2" s="1"/>
  <c r="EY20" i="2" s="1"/>
  <c r="EZ20" i="2" s="1"/>
  <c r="FA20" i="2" s="1"/>
  <c r="FB20" i="2" s="1"/>
  <c r="FC20" i="2" s="1"/>
  <c r="FD20" i="2" s="1"/>
  <c r="FE20" i="2" s="1"/>
  <c r="FF20" i="2" s="1"/>
  <c r="FG20" i="2" s="1"/>
  <c r="FH20" i="2" s="1"/>
  <c r="FI20" i="2" s="1"/>
  <c r="FJ20" i="2" s="1"/>
  <c r="FK20" i="2" s="1"/>
  <c r="FL20" i="2" s="1"/>
  <c r="FM20" i="2" s="1"/>
  <c r="FN20" i="2" s="1"/>
  <c r="FO20" i="2" s="1"/>
  <c r="FP20" i="2" s="1"/>
  <c r="FQ20" i="2" s="1"/>
  <c r="FR20" i="2" s="1"/>
  <c r="FS20" i="2" s="1"/>
  <c r="FT20" i="2" s="1"/>
  <c r="FU20" i="2" s="1"/>
  <c r="FV20" i="2" s="1"/>
  <c r="FW20" i="2" s="1"/>
  <c r="FX20" i="2" s="1"/>
  <c r="FY20" i="2" s="1"/>
  <c r="FZ20" i="2" s="1"/>
  <c r="GA20" i="2" s="1"/>
  <c r="GB20" i="2" s="1"/>
  <c r="GC20" i="2" s="1"/>
  <c r="GD20" i="2" s="1"/>
  <c r="GE20" i="2" s="1"/>
  <c r="GF20" i="2" s="1"/>
  <c r="GG20" i="2" s="1"/>
  <c r="GH20" i="2" s="1"/>
  <c r="GI20" i="2" s="1"/>
  <c r="AF25" i="2"/>
  <c r="AF26" i="2" s="1"/>
  <c r="AF27" i="2" s="1"/>
</calcChain>
</file>

<file path=xl/sharedStrings.xml><?xml version="1.0" encoding="utf-8"?>
<sst xmlns="http://schemas.openxmlformats.org/spreadsheetml/2006/main" count="69" uniqueCount="68">
  <si>
    <t>ibkr</t>
  </si>
  <si>
    <t>price</t>
  </si>
  <si>
    <t>fintech brokerage</t>
  </si>
  <si>
    <t>shares</t>
  </si>
  <si>
    <t>mc</t>
  </si>
  <si>
    <t>cash</t>
  </si>
  <si>
    <t>debt</t>
  </si>
  <si>
    <t>ev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</si>
  <si>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</si>
  <si>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</si>
  <si>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</si>
  <si>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</si>
  <si>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</si>
  <si>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</si>
  <si>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</si>
  <si>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</si>
  <si>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</si>
  <si>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</si>
  <si>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</si>
  <si>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</si>
  <si>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</si>
  <si>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</si>
  <si>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</si>
  <si>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</si>
  <si>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commissions</t>
  </si>
  <si>
    <t>other fees and services</t>
  </si>
  <si>
    <t>other income</t>
  </si>
  <si>
    <t>interest income</t>
  </si>
  <si>
    <t>interest expense</t>
  </si>
  <si>
    <t>revenue</t>
  </si>
  <si>
    <t xml:space="preserve">cogs </t>
  </si>
  <si>
    <t>gross profit</t>
  </si>
  <si>
    <t>employee comp</t>
  </si>
  <si>
    <t>occupancy d&amp;a</t>
  </si>
  <si>
    <t>communications</t>
  </si>
  <si>
    <t>g&amp;a</t>
  </si>
  <si>
    <t>customer bad debt</t>
  </si>
  <si>
    <t>operating expenses</t>
  </si>
  <si>
    <t>operating income</t>
  </si>
  <si>
    <t>pretax income</t>
  </si>
  <si>
    <t>taxes</t>
  </si>
  <si>
    <t>net income</t>
  </si>
  <si>
    <t>eps</t>
  </si>
  <si>
    <t>Terminal</t>
  </si>
  <si>
    <t>Discount</t>
  </si>
  <si>
    <t>rev growth y/y</t>
  </si>
  <si>
    <t>ROIC</t>
  </si>
  <si>
    <t>gross margin</t>
  </si>
  <si>
    <t>NPV</t>
  </si>
  <si>
    <t>Share</t>
  </si>
  <si>
    <t>cash and cash equilivants</t>
  </si>
  <si>
    <t>Upside</t>
  </si>
  <si>
    <t>cash segregated for regultory purporses</t>
  </si>
  <si>
    <t>securities</t>
  </si>
  <si>
    <t>fin instruments owned</t>
  </si>
  <si>
    <t>receivables</t>
  </si>
  <si>
    <t>other</t>
  </si>
  <si>
    <t>assets</t>
  </si>
  <si>
    <t>short term borrowings</t>
  </si>
  <si>
    <t>securities loaned</t>
  </si>
  <si>
    <t>fin instruments sold</t>
  </si>
  <si>
    <t>customers</t>
  </si>
  <si>
    <t>brokers, dealers, co</t>
  </si>
  <si>
    <t>affiliate</t>
  </si>
  <si>
    <t>ap</t>
  </si>
  <si>
    <t>interest</t>
  </si>
  <si>
    <t>SE</t>
  </si>
  <si>
    <t>L+SE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</si>
</sst>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%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Consolas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4" fontId="1" fillId="0" borderId="0" xfId="0" applyNumberFormat="1" applyFont="1"/>
    <xf numFmtId="9" fontId="0" fillId="0" borderId="0" xfId="0" applyNumberFormat="1"/>
    <xf numFmtId="0" fontId="2" fillId="0" borderId="0" xfId="0" applyFont="1"/>
    <xf numFmtId="8" fontId="0" fillId="0" borderId="0" xfId="0" applyNumberFormat="1"/>
    <xf numFmtId="0" fontId="0" fillId="0" borderId="1" xfId="0" applyBorder="1"/>
    <xf numFmtId="164" fontId="0" fillId="0" borderId="2" xfId="0" applyNumberFormat="1" applyBorder="1"/>
    <xf numFmtId="0" fontId="0" fillId="0" borderId="3" xfId="0" applyBorder="1"/>
    <xf numFmtId="164" fontId="0" fillId="0" borderId="4" xfId="0" applyNumberFormat="1" applyBorder="1"/>
    <xf numFmtId="164" fontId="1" fillId="0" borderId="4" xfId="0" applyNumberFormat="1" applyFont="1" applyBorder="1"/>
    <xf numFmtId="3" fontId="0" fillId="0" borderId="4" xfId="0" applyNumberFormat="1" applyBorder="1"/>
    <xf numFmtId="0" fontId="0" fillId="0" borderId="5" xfId="0" applyBorder="1"/>
    <xf numFmtId="10" fontId="0" fillId="0" borderId="6" xfId="0" applyNumberFormat="1" applyBorder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600075</xdr:colOff>
      <xdr:row>1</xdr:row>
      <xdr:rowOff>0</xdr:rowOff>
    </xdr:from>
    <xdr:to>
      <xdr:col>23</xdr:col>
      <xdr:colOff>9525</xdr:colOff>
      <xdr:row>23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B5C7247-7CD9-EF54-6F08-381C165101FA}"/>
            </a:ext>
          </a:extLst>
        </xdr:cNvPr>
        <xdr:cNvCxnSpPr>
          <a:cxnSpLocks/>
        </xdr:cNvCxnSpPr>
      </xdr:nvCxnSpPr>
      <xdr:spPr>
        <a:xfrm flipH="1">
          <a:off x="14011275" y="190500"/>
          <a:ext cx="19050" cy="4210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8"/>
  <sheetViews>
    <sheetView workbookViewId="0">
      <selection activeCell="H8" sqref="H8"/>
    </sheetView>
  </sheetViews>
  <sheetFormatPr defaultRowHeight="15"/>
  <sheetData>
    <row r="3" spans="3:12">
      <c r="C3" t="s">
        <v>0</v>
      </c>
      <c r="G3" t="s">
        <v>1</v>
      </c>
      <c r="H3">
        <v>73</v>
      </c>
      <c r="K3" s="9"/>
      <c r="L3" s="10"/>
    </row>
    <row r="4" spans="3:12">
      <c r="C4" t="s">
        <v>2</v>
      </c>
      <c r="G4" t="s">
        <v>3</v>
      </c>
      <c r="H4">
        <v>445</v>
      </c>
      <c r="K4" s="11"/>
      <c r="L4" s="12"/>
    </row>
    <row r="5" spans="3:12">
      <c r="G5" t="s">
        <v>4</v>
      </c>
      <c r="H5">
        <f>+H3*H4</f>
        <v>32485</v>
      </c>
      <c r="K5" s="11"/>
      <c r="L5" s="13"/>
    </row>
    <row r="6" spans="3:12">
      <c r="G6" t="s">
        <v>5</v>
      </c>
      <c r="H6" s="3">
        <v>4688</v>
      </c>
      <c r="K6" s="11"/>
      <c r="L6" s="14"/>
    </row>
    <row r="7" spans="3:12">
      <c r="G7" t="s">
        <v>6</v>
      </c>
      <c r="H7">
        <v>0</v>
      </c>
      <c r="K7" s="11"/>
      <c r="L7" s="14"/>
    </row>
    <row r="8" spans="3:12">
      <c r="G8" t="s">
        <v>7</v>
      </c>
      <c r="H8" s="3">
        <f>+H5-H6+H7</f>
        <v>27797</v>
      </c>
      <c r="K8" s="15"/>
      <c r="L8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E84A-9128-403B-A03A-29C1E0916048}">
  <dimension ref="B2:GI44"/>
  <sheetViews>
    <sheetView tabSelected="1" workbookViewId="0">
      <pane xSplit="2" ySplit="2" topLeftCell="L26" activePane="bottomRight" state="frozen"/>
      <selection pane="bottomRight" activeCell="Q43" sqref="Q43"/>
      <selection pane="bottomLeft"/>
      <selection pane="topRight"/>
    </sheetView>
  </sheetViews>
  <sheetFormatPr defaultRowHeight="15"/>
  <cols>
    <col min="32" max="32" width="12.42578125" bestFit="1" customWidth="1"/>
  </cols>
  <sheetData>
    <row r="2" spans="2:32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U2">
        <v>2022</v>
      </c>
      <c r="V2">
        <v>2023</v>
      </c>
      <c r="W2">
        <v>2024</v>
      </c>
      <c r="X2">
        <v>2025</v>
      </c>
      <c r="Y2">
        <v>2026</v>
      </c>
      <c r="Z2">
        <v>2027</v>
      </c>
      <c r="AA2">
        <v>2028</v>
      </c>
      <c r="AB2">
        <v>2029</v>
      </c>
      <c r="AC2">
        <v>2030</v>
      </c>
    </row>
    <row r="3" spans="2:32">
      <c r="B3" t="s">
        <v>24</v>
      </c>
      <c r="C3" s="3">
        <v>349</v>
      </c>
      <c r="D3" s="3">
        <v>322</v>
      </c>
      <c r="E3" s="3">
        <v>320</v>
      </c>
      <c r="F3" s="3">
        <f>1322-C3-D3-E3</f>
        <v>331</v>
      </c>
      <c r="G3" s="3">
        <v>357</v>
      </c>
      <c r="H3" s="3">
        <v>322</v>
      </c>
      <c r="I3" s="3">
        <v>333</v>
      </c>
      <c r="J3" s="3">
        <f>1360-G3-H3-I3</f>
        <v>348</v>
      </c>
      <c r="K3" s="3">
        <v>379</v>
      </c>
      <c r="L3" s="3">
        <v>406</v>
      </c>
      <c r="M3" s="3">
        <v>435</v>
      </c>
      <c r="N3" s="3">
        <f>1697-K3-L3-M3</f>
        <v>477</v>
      </c>
      <c r="O3" s="3">
        <v>514</v>
      </c>
      <c r="P3" s="3">
        <v>516</v>
      </c>
      <c r="Q3" s="3">
        <v>537</v>
      </c>
      <c r="R3" s="3">
        <v>538</v>
      </c>
      <c r="S3" s="3"/>
      <c r="U3" s="3">
        <v>1322</v>
      </c>
      <c r="V3" s="3">
        <v>1360</v>
      </c>
      <c r="W3" s="3">
        <v>1697</v>
      </c>
    </row>
    <row r="4" spans="2:32">
      <c r="B4" t="s">
        <v>25</v>
      </c>
      <c r="C4" s="3">
        <v>53</v>
      </c>
      <c r="D4" s="3">
        <v>43</v>
      </c>
      <c r="E4" s="3">
        <v>45</v>
      </c>
      <c r="F4" s="3">
        <f>184-C4-D4-E4</f>
        <v>43</v>
      </c>
      <c r="G4" s="3">
        <v>43</v>
      </c>
      <c r="H4" s="3">
        <v>47</v>
      </c>
      <c r="I4" s="3">
        <v>52</v>
      </c>
      <c r="J4" s="3">
        <f>197-G4-H4-I4</f>
        <v>55</v>
      </c>
      <c r="K4" s="3">
        <v>59</v>
      </c>
      <c r="L4" s="3">
        <v>68</v>
      </c>
      <c r="M4" s="3">
        <v>72</v>
      </c>
      <c r="N4" s="3">
        <f>280-K4-L4-M4</f>
        <v>81</v>
      </c>
      <c r="O4" s="3">
        <v>78</v>
      </c>
      <c r="P4" s="3">
        <v>62</v>
      </c>
      <c r="Q4" s="3">
        <v>66</v>
      </c>
      <c r="R4" s="3">
        <v>54</v>
      </c>
      <c r="S4" s="3"/>
      <c r="U4" s="3">
        <v>184</v>
      </c>
      <c r="V4" s="3">
        <v>197</v>
      </c>
      <c r="W4" s="3">
        <v>280</v>
      </c>
    </row>
    <row r="5" spans="2:32">
      <c r="B5" t="s">
        <v>26</v>
      </c>
      <c r="C5" s="3">
        <v>-39</v>
      </c>
      <c r="D5" s="3">
        <v>-57</v>
      </c>
      <c r="E5" s="3">
        <v>-48</v>
      </c>
      <c r="F5" s="3">
        <f>-107-C5-D5-E5</f>
        <v>37</v>
      </c>
      <c r="G5" s="3">
        <v>19</v>
      </c>
      <c r="H5" s="3">
        <v>-63</v>
      </c>
      <c r="I5" s="3">
        <v>27</v>
      </c>
      <c r="J5" s="3">
        <f>-11-G5-H5-I5</f>
        <v>6</v>
      </c>
      <c r="K5" s="3">
        <v>18</v>
      </c>
      <c r="L5" s="3">
        <v>-36</v>
      </c>
      <c r="M5" s="3">
        <v>56</v>
      </c>
      <c r="N5" s="3">
        <f>60-K5-L5-M5</f>
        <v>22</v>
      </c>
      <c r="O5" s="3">
        <v>65</v>
      </c>
      <c r="P5" s="3">
        <v>42</v>
      </c>
      <c r="Q5" s="3">
        <v>85</v>
      </c>
      <c r="R5" s="3">
        <v>65</v>
      </c>
      <c r="S5" s="3"/>
      <c r="U5" s="3">
        <v>-107</v>
      </c>
      <c r="V5" s="3">
        <v>11</v>
      </c>
      <c r="W5" s="3">
        <v>60</v>
      </c>
    </row>
    <row r="6" spans="2:32">
      <c r="B6" t="s">
        <v>27</v>
      </c>
      <c r="C6" s="3">
        <v>332</v>
      </c>
      <c r="D6" s="3">
        <v>460</v>
      </c>
      <c r="E6" s="3">
        <v>783</v>
      </c>
      <c r="F6" s="3">
        <f>2686-C6-D6-E6</f>
        <v>1111</v>
      </c>
      <c r="G6" s="3">
        <v>1347</v>
      </c>
      <c r="H6" s="3">
        <v>1545</v>
      </c>
      <c r="I6" s="3">
        <v>1643</v>
      </c>
      <c r="J6" s="3">
        <f>6230-G6-H6-I6</f>
        <v>1695</v>
      </c>
      <c r="K6" s="3">
        <v>1760</v>
      </c>
      <c r="L6" s="3">
        <v>1828</v>
      </c>
      <c r="M6" s="3">
        <v>1888</v>
      </c>
      <c r="N6" s="3">
        <f>7339-K6-L6-M6</f>
        <v>1863</v>
      </c>
      <c r="O6" s="3">
        <v>1718</v>
      </c>
      <c r="P6" s="3">
        <v>1891</v>
      </c>
      <c r="Q6" s="3">
        <v>2101</v>
      </c>
      <c r="R6" s="3">
        <v>2260</v>
      </c>
      <c r="S6" s="3"/>
      <c r="U6" s="3">
        <v>2686</v>
      </c>
      <c r="V6" s="3">
        <v>6230</v>
      </c>
      <c r="W6" s="3">
        <v>7339</v>
      </c>
    </row>
    <row r="7" spans="2:32">
      <c r="B7" t="s">
        <v>28</v>
      </c>
      <c r="C7" s="3">
        <v>-50</v>
      </c>
      <c r="D7" s="3">
        <v>-112</v>
      </c>
      <c r="E7" s="3">
        <v>-310</v>
      </c>
      <c r="F7" s="3">
        <f>-1018-C7-D7-E7</f>
        <v>-546</v>
      </c>
      <c r="G7" s="3">
        <v>-710</v>
      </c>
      <c r="H7" s="3">
        <v>-851</v>
      </c>
      <c r="I7" s="3">
        <v>-910</v>
      </c>
      <c r="J7" s="3">
        <f>-3436-G7-H7-I7</f>
        <v>-965</v>
      </c>
      <c r="K7" s="3">
        <v>-1013</v>
      </c>
      <c r="L7" s="3">
        <v>-1036</v>
      </c>
      <c r="M7" s="3">
        <v>-1086</v>
      </c>
      <c r="N7" s="3">
        <f>-4191-K7-L7-M7</f>
        <v>-1056</v>
      </c>
      <c r="O7" s="3">
        <v>-948</v>
      </c>
      <c r="P7" s="3">
        <v>-1031</v>
      </c>
      <c r="Q7" s="3">
        <v>-1134</v>
      </c>
      <c r="R7" s="3">
        <v>-1146</v>
      </c>
      <c r="S7" s="3"/>
      <c r="U7" s="3">
        <v>-1018</v>
      </c>
      <c r="V7" s="3">
        <v>-3436</v>
      </c>
      <c r="W7" s="3">
        <v>-4191</v>
      </c>
    </row>
    <row r="8" spans="2:32" s="2" customFormat="1">
      <c r="B8" s="2" t="s">
        <v>29</v>
      </c>
      <c r="C8" s="4">
        <f t="shared" ref="C8:F8" si="0">SUM(C3:C7)</f>
        <v>645</v>
      </c>
      <c r="D8" s="4">
        <f t="shared" si="0"/>
        <v>656</v>
      </c>
      <c r="E8" s="4">
        <f t="shared" si="0"/>
        <v>790</v>
      </c>
      <c r="F8" s="4">
        <f t="shared" si="0"/>
        <v>976</v>
      </c>
      <c r="G8" s="4">
        <f>SUM(G3:G7)</f>
        <v>1056</v>
      </c>
      <c r="H8" s="4">
        <f>SUM(H3:H7)</f>
        <v>1000</v>
      </c>
      <c r="I8" s="4">
        <f>SUM(I3:I7)</f>
        <v>1145</v>
      </c>
      <c r="J8" s="4">
        <f>SUM(J3:J7)</f>
        <v>1139</v>
      </c>
      <c r="K8" s="4">
        <f>SUM(K3:K7)</f>
        <v>1203</v>
      </c>
      <c r="L8" s="4">
        <f>SUM(L3:L7)</f>
        <v>1230</v>
      </c>
      <c r="M8" s="4">
        <f>SUM(M3:M7)</f>
        <v>1365</v>
      </c>
      <c r="N8" s="4">
        <f>SUM(N3:N7)</f>
        <v>1387</v>
      </c>
      <c r="O8" s="4">
        <f>SUM(O3:O7)</f>
        <v>1427</v>
      </c>
      <c r="P8" s="4">
        <f>SUM(P3:P7)</f>
        <v>1480</v>
      </c>
      <c r="Q8" s="4">
        <f>SUM(Q3:Q7)</f>
        <v>1655</v>
      </c>
      <c r="R8" s="4">
        <f>SUM(R3:R7)</f>
        <v>1771</v>
      </c>
      <c r="S8" s="4">
        <f>+R8*1.01</f>
        <v>1788.71</v>
      </c>
      <c r="U8" s="4">
        <f>SUM(U3:U7)</f>
        <v>3067</v>
      </c>
      <c r="V8" s="4">
        <f>SUM(V3:V7)</f>
        <v>4362</v>
      </c>
      <c r="W8" s="4">
        <f>SUM(W3:W7)</f>
        <v>5185</v>
      </c>
      <c r="X8" s="4">
        <f>+W8*1.11</f>
        <v>5755.35</v>
      </c>
      <c r="Y8" s="4">
        <f>+X8*1.09</f>
        <v>6273.3315000000011</v>
      </c>
      <c r="Z8" s="4">
        <f>+Y8*1.2</f>
        <v>7527.997800000001</v>
      </c>
      <c r="AA8" s="4">
        <f>+Z8*1.08</f>
        <v>8130.2376240000012</v>
      </c>
      <c r="AB8" s="4">
        <f>+AA8*1.07</f>
        <v>8699.354257680001</v>
      </c>
      <c r="AC8" s="4">
        <f>+AB8*1.05</f>
        <v>9134.3219705640022</v>
      </c>
    </row>
    <row r="9" spans="2:32">
      <c r="B9" t="s">
        <v>30</v>
      </c>
      <c r="C9" s="3">
        <v>71</v>
      </c>
      <c r="D9" s="3">
        <v>77</v>
      </c>
      <c r="E9" s="3">
        <v>86</v>
      </c>
      <c r="F9" s="3">
        <f>324-C9-D9-E9</f>
        <v>90</v>
      </c>
      <c r="G9" s="3">
        <v>95</v>
      </c>
      <c r="H9" s="3">
        <v>93</v>
      </c>
      <c r="I9" s="3">
        <v>98</v>
      </c>
      <c r="J9" s="3">
        <f>386-G9-H9-I9</f>
        <v>100</v>
      </c>
      <c r="K9" s="3">
        <v>101</v>
      </c>
      <c r="L9" s="3">
        <v>115</v>
      </c>
      <c r="M9" s="3">
        <v>116</v>
      </c>
      <c r="N9" s="3">
        <f>447-K9-L9-M9</f>
        <v>115</v>
      </c>
      <c r="O9" s="3">
        <v>121</v>
      </c>
      <c r="P9" s="3">
        <v>116</v>
      </c>
      <c r="Q9" s="3">
        <v>92</v>
      </c>
      <c r="R9" s="3">
        <v>105</v>
      </c>
      <c r="S9" s="3">
        <f>+R9*1.01</f>
        <v>106.05</v>
      </c>
      <c r="U9" s="3">
        <v>324</v>
      </c>
      <c r="V9" s="3">
        <v>386</v>
      </c>
      <c r="W9" s="3">
        <v>447</v>
      </c>
      <c r="Y9" s="3"/>
      <c r="Z9" s="3"/>
      <c r="AA9" s="3"/>
      <c r="AB9" s="3"/>
      <c r="AC9" s="3"/>
      <c r="AF9" s="8"/>
    </row>
    <row r="10" spans="2:32" s="2" customFormat="1">
      <c r="B10" s="2" t="s">
        <v>31</v>
      </c>
      <c r="C10" s="4">
        <f t="shared" ref="C10:F10" si="1">+C8-C9</f>
        <v>574</v>
      </c>
      <c r="D10" s="4">
        <f t="shared" si="1"/>
        <v>579</v>
      </c>
      <c r="E10" s="4">
        <f t="shared" si="1"/>
        <v>704</v>
      </c>
      <c r="F10" s="4">
        <f t="shared" si="1"/>
        <v>886</v>
      </c>
      <c r="G10" s="4">
        <f>+G8-G9</f>
        <v>961</v>
      </c>
      <c r="H10" s="4">
        <f>+H8-H9</f>
        <v>907</v>
      </c>
      <c r="I10" s="4">
        <f>+I8-I9</f>
        <v>1047</v>
      </c>
      <c r="J10" s="4">
        <f>+J8-J9</f>
        <v>1039</v>
      </c>
      <c r="K10" s="4">
        <f>+K8-K9</f>
        <v>1102</v>
      </c>
      <c r="L10" s="4">
        <f>+L8-L9</f>
        <v>1115</v>
      </c>
      <c r="M10" s="4">
        <f>+M8-M9</f>
        <v>1249</v>
      </c>
      <c r="N10" s="4">
        <f>+N8-N9</f>
        <v>1272</v>
      </c>
      <c r="O10" s="4">
        <f>+O8-O9</f>
        <v>1306</v>
      </c>
      <c r="P10" s="4">
        <f>+P8-P9</f>
        <v>1364</v>
      </c>
      <c r="Q10" s="4">
        <f>+Q8-Q9</f>
        <v>1563</v>
      </c>
      <c r="R10" s="4">
        <f>+R8-R9</f>
        <v>1666</v>
      </c>
      <c r="S10" s="4">
        <f>SUM(S5:S9)</f>
        <v>1894.76</v>
      </c>
      <c r="U10" s="4">
        <f>+U8-U9</f>
        <v>2743</v>
      </c>
      <c r="V10" s="4">
        <f>+V8-V9</f>
        <v>3976</v>
      </c>
      <c r="W10" s="4">
        <f>+W8-W9</f>
        <v>4738</v>
      </c>
      <c r="X10" s="4">
        <f>+W10*1.07</f>
        <v>5069.66</v>
      </c>
      <c r="Y10" s="4">
        <f>+X10*1.12</f>
        <v>5678.0192000000006</v>
      </c>
      <c r="Z10" s="4">
        <f>+Y10*1.14</f>
        <v>6472.9418880000003</v>
      </c>
      <c r="AA10" s="4">
        <f>+Z10*1.07</f>
        <v>6926.0478201600008</v>
      </c>
      <c r="AB10" s="4">
        <f>+AA10*1.09</f>
        <v>7549.3921239744013</v>
      </c>
      <c r="AC10" s="4">
        <f>+AB10*1.04</f>
        <v>7851.367808933378</v>
      </c>
    </row>
    <row r="11" spans="2:32">
      <c r="B11" t="s">
        <v>32</v>
      </c>
      <c r="C11" s="3">
        <v>111</v>
      </c>
      <c r="D11" s="3">
        <v>112</v>
      </c>
      <c r="E11" s="3">
        <v>112</v>
      </c>
      <c r="F11" s="3">
        <f>454-C11-D11-E11</f>
        <v>119</v>
      </c>
      <c r="G11" s="3">
        <v>128</v>
      </c>
      <c r="H11" s="3">
        <v>136</v>
      </c>
      <c r="I11" s="3">
        <v>127</v>
      </c>
      <c r="J11" s="3">
        <f>527-G11-H11-I11</f>
        <v>136</v>
      </c>
      <c r="K11" s="3">
        <v>145</v>
      </c>
      <c r="L11" s="3">
        <v>146</v>
      </c>
      <c r="M11" s="3">
        <v>145</v>
      </c>
      <c r="N11" s="3">
        <f>574-K11-L11-M11</f>
        <v>138</v>
      </c>
      <c r="O11" s="3">
        <v>154</v>
      </c>
      <c r="P11" s="3">
        <v>163</v>
      </c>
      <c r="Q11" s="3">
        <v>156</v>
      </c>
      <c r="R11" s="3">
        <v>160</v>
      </c>
      <c r="S11" s="3">
        <f>+R11*1.01</f>
        <v>161.6</v>
      </c>
      <c r="U11" s="3">
        <v>454</v>
      </c>
      <c r="V11" s="3">
        <v>527</v>
      </c>
      <c r="W11" s="3">
        <v>574</v>
      </c>
      <c r="X11" s="3">
        <f>+W11*1.01</f>
        <v>579.74</v>
      </c>
      <c r="Y11" s="3">
        <f t="shared" ref="Y11:AC11" si="2">+X11*1.01</f>
        <v>585.53740000000005</v>
      </c>
      <c r="Z11" s="3">
        <f t="shared" ref="Z11:Z14" si="3">+Y11*1.01</f>
        <v>591.39277400000003</v>
      </c>
      <c r="AA11" s="3">
        <f t="shared" ref="AA11:AA14" si="4">+Z11*1.01</f>
        <v>597.30670173999999</v>
      </c>
      <c r="AB11" s="3">
        <f t="shared" ref="AB10:AC14" si="5">+AA11*1.01</f>
        <v>603.27976875740001</v>
      </c>
      <c r="AC11" s="3">
        <f t="shared" si="5"/>
        <v>609.31256644497398</v>
      </c>
    </row>
    <row r="12" spans="2:32">
      <c r="B12" t="s">
        <v>33</v>
      </c>
      <c r="C12" s="3">
        <v>22</v>
      </c>
      <c r="D12" s="3">
        <v>23</v>
      </c>
      <c r="E12" s="3">
        <v>23</v>
      </c>
      <c r="F12" s="3">
        <f>90-C12-D12-E12</f>
        <v>22</v>
      </c>
      <c r="G12" s="3">
        <v>24</v>
      </c>
      <c r="H12" s="3">
        <v>25</v>
      </c>
      <c r="I12" s="3">
        <v>25</v>
      </c>
      <c r="J12" s="3">
        <f>99-G12-H12-I12</f>
        <v>25</v>
      </c>
      <c r="K12" s="3">
        <v>26</v>
      </c>
      <c r="L12" s="3">
        <v>25</v>
      </c>
      <c r="M12" s="3">
        <v>26</v>
      </c>
      <c r="N12" s="3">
        <f>101-K12-L12-M12</f>
        <v>24</v>
      </c>
      <c r="O12" s="3">
        <v>24</v>
      </c>
      <c r="P12" s="3">
        <v>24</v>
      </c>
      <c r="Q12" s="3">
        <v>24</v>
      </c>
      <c r="R12" s="3">
        <v>24</v>
      </c>
      <c r="S12" s="3">
        <f t="shared" ref="S12:S15" si="6">+R12*1.01</f>
        <v>24.240000000000002</v>
      </c>
      <c r="U12" s="3">
        <v>90</v>
      </c>
      <c r="V12" s="3">
        <v>99</v>
      </c>
      <c r="W12" s="3">
        <v>101</v>
      </c>
      <c r="X12" s="3">
        <f t="shared" ref="X12:X15" si="7">+W12*1.01</f>
        <v>102.01</v>
      </c>
      <c r="Y12" s="3">
        <f t="shared" ref="X12:AC12" si="8">+X12*1.01</f>
        <v>103.0301</v>
      </c>
      <c r="Z12" s="3">
        <f t="shared" si="3"/>
        <v>104.060401</v>
      </c>
      <c r="AA12" s="3">
        <f t="shared" si="4"/>
        <v>105.10100500999999</v>
      </c>
      <c r="AB12" s="3">
        <f t="shared" si="5"/>
        <v>106.1520150601</v>
      </c>
      <c r="AC12" s="3">
        <f t="shared" si="5"/>
        <v>107.213535210701</v>
      </c>
    </row>
    <row r="13" spans="2:32">
      <c r="B13" t="s">
        <v>34</v>
      </c>
      <c r="C13" s="3">
        <v>8</v>
      </c>
      <c r="D13" s="3">
        <v>9</v>
      </c>
      <c r="E13" s="3">
        <v>8</v>
      </c>
      <c r="F13" s="3">
        <f>33-C13-D13-E13</f>
        <v>8</v>
      </c>
      <c r="G13" s="3">
        <v>9</v>
      </c>
      <c r="H13" s="3">
        <v>10</v>
      </c>
      <c r="I13" s="3">
        <v>10</v>
      </c>
      <c r="J13" s="3">
        <f>41-G13-H13-I13</f>
        <v>12</v>
      </c>
      <c r="K13" s="3">
        <v>10</v>
      </c>
      <c r="L13" s="3">
        <v>10</v>
      </c>
      <c r="M13" s="3">
        <v>9</v>
      </c>
      <c r="N13" s="3">
        <f>39-K13-L13-M13</f>
        <v>10</v>
      </c>
      <c r="O13" s="3">
        <v>10</v>
      </c>
      <c r="P13" s="3">
        <v>11</v>
      </c>
      <c r="Q13" s="3">
        <v>11</v>
      </c>
      <c r="R13" s="3">
        <v>11</v>
      </c>
      <c r="S13" s="3">
        <f t="shared" si="6"/>
        <v>11.11</v>
      </c>
      <c r="U13" s="3">
        <v>33</v>
      </c>
      <c r="V13" s="3">
        <v>41</v>
      </c>
      <c r="W13" s="3">
        <v>39</v>
      </c>
      <c r="X13" s="3">
        <f t="shared" si="7"/>
        <v>39.39</v>
      </c>
      <c r="Y13" s="3">
        <f t="shared" ref="X13:AC13" si="9">+X13*1.01</f>
        <v>39.783900000000003</v>
      </c>
      <c r="Z13" s="3">
        <f t="shared" si="3"/>
        <v>40.181739</v>
      </c>
      <c r="AA13" s="3">
        <f t="shared" si="4"/>
        <v>40.583556389999998</v>
      </c>
      <c r="AB13" s="3">
        <f t="shared" si="5"/>
        <v>40.989391953899997</v>
      </c>
      <c r="AC13" s="3">
        <f t="shared" si="5"/>
        <v>41.399285873438998</v>
      </c>
    </row>
    <row r="14" spans="2:32">
      <c r="B14" t="s">
        <v>35</v>
      </c>
      <c r="C14" s="3">
        <v>38</v>
      </c>
      <c r="D14" s="3">
        <v>42</v>
      </c>
      <c r="E14" s="3">
        <v>37</v>
      </c>
      <c r="F14" s="3">
        <f>165-C14-D14-E14</f>
        <v>48</v>
      </c>
      <c r="G14" s="3">
        <v>36</v>
      </c>
      <c r="H14" s="3">
        <v>85</v>
      </c>
      <c r="I14" s="3">
        <v>45</v>
      </c>
      <c r="J14" s="3">
        <f>211-G14-H14-I14</f>
        <v>45</v>
      </c>
      <c r="K14" s="3">
        <v>50</v>
      </c>
      <c r="L14" s="3">
        <v>52</v>
      </c>
      <c r="M14" s="3">
        <v>153</v>
      </c>
      <c r="N14" s="3">
        <f>314-K14-L14-M14</f>
        <v>59</v>
      </c>
      <c r="O14" s="3">
        <v>62</v>
      </c>
      <c r="P14" s="3">
        <v>61</v>
      </c>
      <c r="Q14" s="3">
        <v>62</v>
      </c>
      <c r="R14" s="3">
        <v>64</v>
      </c>
      <c r="S14" s="3">
        <f t="shared" si="6"/>
        <v>64.64</v>
      </c>
      <c r="U14" s="3">
        <v>165</v>
      </c>
      <c r="V14" s="3">
        <v>211</v>
      </c>
      <c r="W14" s="3">
        <v>314</v>
      </c>
      <c r="X14" s="3">
        <f t="shared" si="7"/>
        <v>317.14</v>
      </c>
      <c r="Y14" s="3">
        <f t="shared" ref="X14:AC14" si="10">+X14*1.01</f>
        <v>320.31139999999999</v>
      </c>
      <c r="Z14" s="3">
        <f t="shared" si="3"/>
        <v>323.51451400000002</v>
      </c>
      <c r="AA14" s="3">
        <f t="shared" si="4"/>
        <v>326.74965914000001</v>
      </c>
      <c r="AB14" s="3">
        <f t="shared" si="5"/>
        <v>330.01715573140001</v>
      </c>
      <c r="AC14" s="3">
        <f t="shared" si="5"/>
        <v>333.31732728871401</v>
      </c>
    </row>
    <row r="15" spans="2:32">
      <c r="B15" t="s">
        <v>36</v>
      </c>
      <c r="C15" s="3">
        <v>1</v>
      </c>
      <c r="D15" s="3">
        <v>1</v>
      </c>
      <c r="E15" s="3">
        <v>1</v>
      </c>
      <c r="F15" s="3">
        <f>3-C15-D15-E15</f>
        <v>0</v>
      </c>
      <c r="G15" s="3">
        <v>3</v>
      </c>
      <c r="H15" s="3">
        <v>-1</v>
      </c>
      <c r="I15" s="3">
        <v>0</v>
      </c>
      <c r="J15" s="3">
        <f>7-G15-H15-I15</f>
        <v>5</v>
      </c>
      <c r="K15" s="3">
        <v>5</v>
      </c>
      <c r="L15" s="3">
        <v>2</v>
      </c>
      <c r="M15" s="3">
        <v>7</v>
      </c>
      <c r="N15" s="3">
        <f>15-K15-L15-M15</f>
        <v>1</v>
      </c>
      <c r="O15" s="3">
        <v>1</v>
      </c>
      <c r="P15" s="3">
        <v>1</v>
      </c>
      <c r="Q15" s="3">
        <v>-2</v>
      </c>
      <c r="R15" s="3">
        <v>-6</v>
      </c>
      <c r="S15" s="3">
        <f t="shared" si="6"/>
        <v>-6.0600000000000005</v>
      </c>
      <c r="U15" s="3">
        <v>3</v>
      </c>
      <c r="V15" s="3">
        <v>7</v>
      </c>
      <c r="W15" s="3">
        <v>15</v>
      </c>
      <c r="X15" s="3">
        <f t="shared" si="7"/>
        <v>15.15</v>
      </c>
      <c r="Y15" s="3">
        <v>10</v>
      </c>
      <c r="Z15" s="3">
        <v>10</v>
      </c>
      <c r="AA15" s="3">
        <v>10</v>
      </c>
      <c r="AB15" s="3">
        <v>10</v>
      </c>
      <c r="AC15" s="3">
        <v>10</v>
      </c>
    </row>
    <row r="16" spans="2:32" s="2" customFormat="1">
      <c r="B16" s="2" t="s">
        <v>37</v>
      </c>
      <c r="C16" s="4">
        <f t="shared" ref="C16:F16" si="11">SUM(C11:C15)</f>
        <v>180</v>
      </c>
      <c r="D16" s="4">
        <f t="shared" si="11"/>
        <v>187</v>
      </c>
      <c r="E16" s="4">
        <f t="shared" si="11"/>
        <v>181</v>
      </c>
      <c r="F16" s="4">
        <f t="shared" si="11"/>
        <v>197</v>
      </c>
      <c r="G16" s="4">
        <f>SUM(G11:G15)</f>
        <v>200</v>
      </c>
      <c r="H16" s="4">
        <f>SUM(H11:H15)</f>
        <v>255</v>
      </c>
      <c r="I16" s="4">
        <f>SUM(I11:I15)</f>
        <v>207</v>
      </c>
      <c r="J16" s="4">
        <f>SUM(J11:J15)</f>
        <v>223</v>
      </c>
      <c r="K16" s="4">
        <f>SUM(K11:K15)</f>
        <v>236</v>
      </c>
      <c r="L16" s="4">
        <f>SUM(L11:L15)</f>
        <v>235</v>
      </c>
      <c r="M16" s="4">
        <f>SUM(M11:M15)</f>
        <v>340</v>
      </c>
      <c r="N16" s="4">
        <f>SUM(N11:N15)</f>
        <v>232</v>
      </c>
      <c r="O16" s="4">
        <f>SUM(O11:O15)</f>
        <v>251</v>
      </c>
      <c r="P16" s="4">
        <f>SUM(P11:P15)</f>
        <v>260</v>
      </c>
      <c r="Q16" s="4">
        <f>SUM(Q11:Q15)</f>
        <v>251</v>
      </c>
      <c r="R16" s="4">
        <f>SUM(R11:R15)</f>
        <v>253</v>
      </c>
      <c r="S16" s="4">
        <f>SUM(S11:S15)</f>
        <v>255.52999999999997</v>
      </c>
      <c r="U16" s="4">
        <f>SUM(U11:U15)</f>
        <v>745</v>
      </c>
      <c r="V16" s="4">
        <f>SUM(V11:V15)</f>
        <v>885</v>
      </c>
      <c r="W16" s="4">
        <f>SUM(W11:W15)</f>
        <v>1043</v>
      </c>
      <c r="X16" s="4">
        <f>SUM(X11:X15)</f>
        <v>1053.43</v>
      </c>
      <c r="Y16" s="4">
        <f t="shared" ref="Y16:AC16" si="12">SUM(Y11:Y15)</f>
        <v>1058.6628000000001</v>
      </c>
      <c r="Z16" s="4">
        <f t="shared" si="12"/>
        <v>1069.1494279999999</v>
      </c>
      <c r="AA16" s="4">
        <f t="shared" si="12"/>
        <v>1079.7409222799999</v>
      </c>
      <c r="AB16" s="4">
        <f t="shared" si="12"/>
        <v>1090.4383315027999</v>
      </c>
      <c r="AC16" s="4">
        <f t="shared" si="12"/>
        <v>1101.2427148178281</v>
      </c>
    </row>
    <row r="17" spans="2:191" s="2" customFormat="1">
      <c r="B17" s="2" t="s">
        <v>38</v>
      </c>
      <c r="C17" s="4">
        <f t="shared" ref="C17:F17" si="13">+C10-C16</f>
        <v>394</v>
      </c>
      <c r="D17" s="4">
        <f t="shared" si="13"/>
        <v>392</v>
      </c>
      <c r="E17" s="4">
        <f t="shared" si="13"/>
        <v>523</v>
      </c>
      <c r="F17" s="4">
        <f t="shared" si="13"/>
        <v>689</v>
      </c>
      <c r="G17" s="4">
        <f>+G10-G16</f>
        <v>761</v>
      </c>
      <c r="H17" s="4">
        <f>+H10-H16</f>
        <v>652</v>
      </c>
      <c r="I17" s="4">
        <f>+I10-I16</f>
        <v>840</v>
      </c>
      <c r="J17" s="4">
        <f>+J10-J16</f>
        <v>816</v>
      </c>
      <c r="K17" s="4">
        <f>+K10-K16</f>
        <v>866</v>
      </c>
      <c r="L17" s="4">
        <f>+L10-L16</f>
        <v>880</v>
      </c>
      <c r="M17" s="4">
        <f>+M10-M16</f>
        <v>909</v>
      </c>
      <c r="N17" s="4">
        <f>+N10-N16</f>
        <v>1040</v>
      </c>
      <c r="O17" s="4">
        <f>+O10-O16</f>
        <v>1055</v>
      </c>
      <c r="P17" s="4">
        <f>+P10-P16</f>
        <v>1104</v>
      </c>
      <c r="Q17" s="4">
        <f>+Q10-Q16</f>
        <v>1312</v>
      </c>
      <c r="R17" s="4">
        <f>+R10-R16</f>
        <v>1413</v>
      </c>
      <c r="S17" s="4">
        <f>+S10-S16</f>
        <v>1639.23</v>
      </c>
      <c r="U17" s="4">
        <f>+U10-U16</f>
        <v>1998</v>
      </c>
      <c r="V17" s="4">
        <f>+V10-V16</f>
        <v>3091</v>
      </c>
      <c r="W17" s="4">
        <f>+W10-W16</f>
        <v>3695</v>
      </c>
      <c r="X17" s="4">
        <f>+X10-X16*AF24</f>
        <v>4964.317</v>
      </c>
      <c r="Y17" s="4">
        <f>+Y10-Y16*AF24</f>
        <v>5572.1529200000004</v>
      </c>
      <c r="Z17" s="4">
        <f>+Z10-Z16*AF24</f>
        <v>6366.0269452000002</v>
      </c>
      <c r="AA17" s="4">
        <f>+AA10-AA16*AF24</f>
        <v>6818.073727932001</v>
      </c>
      <c r="AB17" s="4">
        <f>+AB10-AB16*AF24</f>
        <v>7440.3482908241212</v>
      </c>
      <c r="AC17" s="4">
        <f>+AC10-AC16*AF24</f>
        <v>7741.2435374515953</v>
      </c>
    </row>
    <row r="18" spans="2:191">
      <c r="B18" t="s">
        <v>39</v>
      </c>
      <c r="C18" s="3">
        <v>394</v>
      </c>
      <c r="D18" s="3">
        <v>392</v>
      </c>
      <c r="E18" s="3">
        <v>523</v>
      </c>
      <c r="F18" s="3">
        <v>689</v>
      </c>
      <c r="G18" s="3">
        <v>761</v>
      </c>
      <c r="H18" s="3">
        <v>652</v>
      </c>
      <c r="I18" s="3">
        <v>840</v>
      </c>
      <c r="J18" s="3">
        <v>816</v>
      </c>
      <c r="K18" s="3">
        <v>866</v>
      </c>
      <c r="L18" s="3">
        <v>880</v>
      </c>
      <c r="M18" s="3">
        <v>909</v>
      </c>
      <c r="N18" s="3">
        <v>1040</v>
      </c>
      <c r="O18" s="3">
        <v>1055</v>
      </c>
      <c r="P18" s="3">
        <v>1104</v>
      </c>
      <c r="Q18" s="3">
        <v>1312</v>
      </c>
      <c r="R18" s="3">
        <v>1413</v>
      </c>
      <c r="S18" s="3">
        <f>+R18*1.01</f>
        <v>1427.13</v>
      </c>
      <c r="U18" s="3">
        <v>1998</v>
      </c>
      <c r="V18" s="3">
        <v>3091</v>
      </c>
      <c r="W18" s="3">
        <v>3695</v>
      </c>
      <c r="X18" s="3">
        <f>+X17</f>
        <v>4964.317</v>
      </c>
      <c r="Y18" s="3">
        <f t="shared" ref="Y18:AC18" si="14">+Y17</f>
        <v>5572.1529200000004</v>
      </c>
      <c r="Z18" s="3">
        <f t="shared" si="14"/>
        <v>6366.0269452000002</v>
      </c>
      <c r="AA18" s="3">
        <f t="shared" si="14"/>
        <v>6818.073727932001</v>
      </c>
      <c r="AB18" s="3">
        <f t="shared" si="14"/>
        <v>7440.3482908241212</v>
      </c>
      <c r="AC18" s="3">
        <f t="shared" si="14"/>
        <v>7741.2435374515953</v>
      </c>
    </row>
    <row r="19" spans="2:191">
      <c r="B19" t="s">
        <v>40</v>
      </c>
      <c r="C19" s="3">
        <v>28</v>
      </c>
      <c r="D19" s="3">
        <v>32</v>
      </c>
      <c r="E19" s="3">
        <v>40</v>
      </c>
      <c r="F19" s="3">
        <f>156-C19-D19-E19</f>
        <v>56</v>
      </c>
      <c r="G19" s="3">
        <v>61</v>
      </c>
      <c r="H19" s="3">
        <v>51</v>
      </c>
      <c r="I19" s="3">
        <v>68</v>
      </c>
      <c r="J19" s="3">
        <f>257-G19-H19-I19</f>
        <v>77</v>
      </c>
      <c r="K19" s="3">
        <v>71</v>
      </c>
      <c r="L19" s="3">
        <v>71</v>
      </c>
      <c r="M19" s="3">
        <v>75</v>
      </c>
      <c r="N19" s="3">
        <f>288-K19-L19-M19</f>
        <v>71</v>
      </c>
      <c r="O19" s="3">
        <v>91</v>
      </c>
      <c r="P19" s="3">
        <v>98</v>
      </c>
      <c r="Q19" s="3">
        <v>126</v>
      </c>
      <c r="R19" s="3">
        <v>145</v>
      </c>
      <c r="S19" s="3">
        <f>+R19*1.01</f>
        <v>146.44999999999999</v>
      </c>
      <c r="U19" s="3">
        <v>156</v>
      </c>
      <c r="V19" s="3">
        <v>288</v>
      </c>
      <c r="W19" s="3">
        <v>288</v>
      </c>
      <c r="X19" s="3">
        <f>+W19*1.01</f>
        <v>290.88</v>
      </c>
      <c r="Y19" s="3">
        <f>+X19*1.01</f>
        <v>293.78879999999998</v>
      </c>
      <c r="Z19" s="3">
        <f t="shared" ref="Z19:AC19" si="15">+Y19*1.01</f>
        <v>296.72668799999997</v>
      </c>
      <c r="AA19" s="3">
        <f t="shared" si="15"/>
        <v>299.69395487999998</v>
      </c>
      <c r="AB19" s="3">
        <f t="shared" si="15"/>
        <v>302.69089442879999</v>
      </c>
      <c r="AC19" s="3">
        <f t="shared" si="15"/>
        <v>305.71780337308797</v>
      </c>
    </row>
    <row r="20" spans="2:191" s="4" customFormat="1">
      <c r="B20" s="4" t="s">
        <v>41</v>
      </c>
      <c r="C20" s="4">
        <f t="shared" ref="C20:F20" si="16">+C18-C19</f>
        <v>366</v>
      </c>
      <c r="D20" s="4">
        <f t="shared" si="16"/>
        <v>360</v>
      </c>
      <c r="E20" s="4">
        <f t="shared" si="16"/>
        <v>483</v>
      </c>
      <c r="F20" s="4">
        <f t="shared" si="16"/>
        <v>633</v>
      </c>
      <c r="G20" s="4">
        <f>+G18-G19</f>
        <v>700</v>
      </c>
      <c r="H20" s="4">
        <f>+H18-H19</f>
        <v>601</v>
      </c>
      <c r="I20" s="4">
        <f>+I18-I19</f>
        <v>772</v>
      </c>
      <c r="J20" s="4">
        <f>+J18-J19</f>
        <v>739</v>
      </c>
      <c r="K20" s="4">
        <f>+K18-K19</f>
        <v>795</v>
      </c>
      <c r="L20" s="4">
        <f>+L18-L19</f>
        <v>809</v>
      </c>
      <c r="M20" s="4">
        <f>+M18-M19</f>
        <v>834</v>
      </c>
      <c r="N20" s="4">
        <f>+N18-N19</f>
        <v>969</v>
      </c>
      <c r="O20" s="4">
        <f>+O18-O19</f>
        <v>964</v>
      </c>
      <c r="P20" s="4">
        <f>+P18-P19</f>
        <v>1006</v>
      </c>
      <c r="Q20" s="4">
        <f>+Q18-Q19</f>
        <v>1186</v>
      </c>
      <c r="R20" s="4">
        <f>+R18-R19</f>
        <v>1268</v>
      </c>
      <c r="S20" s="4">
        <f>+S18-S19</f>
        <v>1280.68</v>
      </c>
      <c r="U20" s="4">
        <f>+U18-U19</f>
        <v>1842</v>
      </c>
      <c r="V20" s="4">
        <f>+V18-V19</f>
        <v>2803</v>
      </c>
      <c r="W20" s="4">
        <f>+W18-W19</f>
        <v>3407</v>
      </c>
      <c r="X20" s="4">
        <f>+X18-X19</f>
        <v>4673.4369999999999</v>
      </c>
      <c r="Y20" s="4">
        <f t="shared" ref="Y20:AC20" si="17">+Y18-Y19</f>
        <v>5278.3641200000002</v>
      </c>
      <c r="Z20" s="4">
        <f t="shared" si="17"/>
        <v>6069.3002572000005</v>
      </c>
      <c r="AA20" s="4">
        <f t="shared" si="17"/>
        <v>6518.3797730520009</v>
      </c>
      <c r="AB20" s="4">
        <f t="shared" si="17"/>
        <v>7137.6573963953215</v>
      </c>
      <c r="AC20" s="4">
        <f t="shared" si="17"/>
        <v>7435.5257340785074</v>
      </c>
      <c r="AD20" s="4">
        <f>+AC20*(1+$AF$22)</f>
        <v>7509.8809914192925</v>
      </c>
      <c r="AE20" s="4">
        <f t="shared" ref="AE20:CP20" si="18">+AD20*(1+$AF$22)</f>
        <v>7584.9798013334857</v>
      </c>
      <c r="AF20" s="4">
        <f t="shared" si="18"/>
        <v>7660.8295993468209</v>
      </c>
      <c r="AG20" s="4">
        <f t="shared" si="18"/>
        <v>7737.4378953402893</v>
      </c>
      <c r="AH20" s="4">
        <f t="shared" si="18"/>
        <v>7814.8122742936921</v>
      </c>
      <c r="AI20" s="4">
        <f t="shared" si="18"/>
        <v>7892.9603970366288</v>
      </c>
      <c r="AJ20" s="4">
        <f t="shared" si="18"/>
        <v>7971.8900010069956</v>
      </c>
      <c r="AK20" s="4">
        <f t="shared" si="18"/>
        <v>8051.6089010170654</v>
      </c>
      <c r="AL20" s="4">
        <f t="shared" si="18"/>
        <v>8132.124990027236</v>
      </c>
      <c r="AM20" s="4">
        <f t="shared" si="18"/>
        <v>8213.4462399275089</v>
      </c>
      <c r="AN20" s="4">
        <f t="shared" si="18"/>
        <v>8295.5807023267844</v>
      </c>
      <c r="AO20" s="4">
        <f t="shared" si="18"/>
        <v>8378.5365093500532</v>
      </c>
      <c r="AP20" s="4">
        <f t="shared" si="18"/>
        <v>8462.3218744435544</v>
      </c>
      <c r="AQ20" s="4">
        <f t="shared" si="18"/>
        <v>8546.9450931879892</v>
      </c>
      <c r="AR20" s="4">
        <f t="shared" si="18"/>
        <v>8632.4145441198689</v>
      </c>
      <c r="AS20" s="4">
        <f t="shared" si="18"/>
        <v>8718.7386895610671</v>
      </c>
      <c r="AT20" s="4">
        <f t="shared" si="18"/>
        <v>8805.926076456677</v>
      </c>
      <c r="AU20" s="4">
        <f t="shared" si="18"/>
        <v>8893.9853372212438</v>
      </c>
      <c r="AV20" s="4">
        <f t="shared" si="18"/>
        <v>8982.9251905934561</v>
      </c>
      <c r="AW20" s="4">
        <f t="shared" si="18"/>
        <v>9072.7544424993903</v>
      </c>
      <c r="AX20" s="4">
        <f t="shared" si="18"/>
        <v>9163.4819869243838</v>
      </c>
      <c r="AY20" s="4">
        <f t="shared" si="18"/>
        <v>9255.1168067936269</v>
      </c>
      <c r="AZ20" s="4">
        <f t="shared" si="18"/>
        <v>9347.6679748615625</v>
      </c>
      <c r="BA20" s="4">
        <f t="shared" si="18"/>
        <v>9441.1446546101779</v>
      </c>
      <c r="BB20" s="4">
        <f t="shared" si="18"/>
        <v>9535.5561011562804</v>
      </c>
      <c r="BC20" s="4">
        <f t="shared" si="18"/>
        <v>9630.911662167844</v>
      </c>
      <c r="BD20" s="4">
        <f t="shared" si="18"/>
        <v>9727.2207787895222</v>
      </c>
      <c r="BE20" s="4">
        <f t="shared" si="18"/>
        <v>9824.4929865774175</v>
      </c>
      <c r="BF20" s="4">
        <f t="shared" si="18"/>
        <v>9922.7379164431914</v>
      </c>
      <c r="BG20" s="4">
        <f t="shared" si="18"/>
        <v>10021.965295607622</v>
      </c>
      <c r="BH20" s="4">
        <f t="shared" si="18"/>
        <v>10122.184948563699</v>
      </c>
      <c r="BI20" s="4">
        <f t="shared" si="18"/>
        <v>10223.406798049336</v>
      </c>
      <c r="BJ20" s="4">
        <f t="shared" si="18"/>
        <v>10325.640866029829</v>
      </c>
      <c r="BK20" s="4">
        <f t="shared" si="18"/>
        <v>10428.897274690127</v>
      </c>
      <c r="BL20" s="4">
        <f t="shared" si="18"/>
        <v>10533.186247437028</v>
      </c>
      <c r="BM20" s="4">
        <f t="shared" si="18"/>
        <v>10638.518109911398</v>
      </c>
      <c r="BN20" s="4">
        <f t="shared" si="18"/>
        <v>10744.903291010512</v>
      </c>
      <c r="BO20" s="4">
        <f t="shared" si="18"/>
        <v>10852.352323920617</v>
      </c>
      <c r="BP20" s="4">
        <f t="shared" si="18"/>
        <v>10960.875847159823</v>
      </c>
      <c r="BQ20" s="4">
        <f t="shared" si="18"/>
        <v>11070.484605631422</v>
      </c>
      <c r="BR20" s="4">
        <f t="shared" si="18"/>
        <v>11181.189451687736</v>
      </c>
      <c r="BS20" s="4">
        <f t="shared" si="18"/>
        <v>11293.001346204614</v>
      </c>
      <c r="BT20" s="4">
        <f t="shared" si="18"/>
        <v>11405.93135966666</v>
      </c>
      <c r="BU20" s="4">
        <f t="shared" si="18"/>
        <v>11519.990673263326</v>
      </c>
      <c r="BV20" s="4">
        <f t="shared" si="18"/>
        <v>11635.19057999596</v>
      </c>
      <c r="BW20" s="4">
        <f t="shared" si="18"/>
        <v>11751.542485795921</v>
      </c>
      <c r="BX20" s="4">
        <f t="shared" si="18"/>
        <v>11869.057910653881</v>
      </c>
      <c r="BY20" s="4">
        <f t="shared" si="18"/>
        <v>11987.748489760419</v>
      </c>
      <c r="BZ20" s="4">
        <f t="shared" si="18"/>
        <v>12107.625974658024</v>
      </c>
      <c r="CA20" s="4">
        <f t="shared" si="18"/>
        <v>12228.702234404604</v>
      </c>
      <c r="CB20" s="4">
        <f t="shared" si="18"/>
        <v>12350.989256748649</v>
      </c>
      <c r="CC20" s="4">
        <f t="shared" si="18"/>
        <v>12474.499149316136</v>
      </c>
      <c r="CD20" s="4">
        <f t="shared" si="18"/>
        <v>12599.244140809298</v>
      </c>
      <c r="CE20" s="4">
        <f t="shared" si="18"/>
        <v>12725.236582217391</v>
      </c>
      <c r="CF20" s="4">
        <f t="shared" si="18"/>
        <v>12852.488948039565</v>
      </c>
      <c r="CG20" s="4">
        <f t="shared" si="18"/>
        <v>12981.01383751996</v>
      </c>
      <c r="CH20" s="4">
        <f t="shared" si="18"/>
        <v>13110.82397589516</v>
      </c>
      <c r="CI20" s="4">
        <f t="shared" si="18"/>
        <v>13241.932215654113</v>
      </c>
      <c r="CJ20" s="4">
        <f t="shared" si="18"/>
        <v>13374.351537810655</v>
      </c>
      <c r="CK20" s="4">
        <f t="shared" si="18"/>
        <v>13508.095053188761</v>
      </c>
      <c r="CL20" s="4">
        <f t="shared" si="18"/>
        <v>13643.17600372065</v>
      </c>
      <c r="CM20" s="4">
        <f t="shared" si="18"/>
        <v>13779.607763757856</v>
      </c>
      <c r="CN20" s="4">
        <f t="shared" si="18"/>
        <v>13917.403841395435</v>
      </c>
      <c r="CO20" s="4">
        <f t="shared" si="18"/>
        <v>14056.577879809389</v>
      </c>
      <c r="CP20" s="4">
        <f t="shared" si="18"/>
        <v>14197.143658607483</v>
      </c>
      <c r="CQ20" s="4">
        <f t="shared" ref="CQ20:FB20" si="19">+CP20*(1+$AF$22)</f>
        <v>14339.115095193558</v>
      </c>
      <c r="CR20" s="4">
        <f t="shared" si="19"/>
        <v>14482.506246145493</v>
      </c>
      <c r="CS20" s="4">
        <f t="shared" si="19"/>
        <v>14627.331308606948</v>
      </c>
      <c r="CT20" s="4">
        <f t="shared" si="19"/>
        <v>14773.604621693017</v>
      </c>
      <c r="CU20" s="4">
        <f t="shared" si="19"/>
        <v>14921.340667909948</v>
      </c>
      <c r="CV20" s="4">
        <f t="shared" si="19"/>
        <v>15070.554074589048</v>
      </c>
      <c r="CW20" s="4">
        <f t="shared" si="19"/>
        <v>15221.259615334939</v>
      </c>
      <c r="CX20" s="4">
        <f t="shared" si="19"/>
        <v>15373.472211488288</v>
      </c>
      <c r="CY20" s="4">
        <f t="shared" si="19"/>
        <v>15527.206933603171</v>
      </c>
      <c r="CZ20" s="4">
        <f t="shared" si="19"/>
        <v>15682.479002939202</v>
      </c>
      <c r="DA20" s="4">
        <f t="shared" si="19"/>
        <v>15839.303792968594</v>
      </c>
      <c r="DB20" s="4">
        <f t="shared" si="19"/>
        <v>15997.69683089828</v>
      </c>
      <c r="DC20" s="4">
        <f t="shared" si="19"/>
        <v>16157.673799207263</v>
      </c>
      <c r="DD20" s="4">
        <f t="shared" si="19"/>
        <v>16319.250537199336</v>
      </c>
      <c r="DE20" s="4">
        <f t="shared" si="19"/>
        <v>16482.443042571329</v>
      </c>
      <c r="DF20" s="4">
        <f t="shared" si="19"/>
        <v>16647.267472997042</v>
      </c>
      <c r="DG20" s="4">
        <f t="shared" si="19"/>
        <v>16813.740147727014</v>
      </c>
      <c r="DH20" s="4">
        <f t="shared" si="19"/>
        <v>16981.877549204284</v>
      </c>
      <c r="DI20" s="4">
        <f t="shared" si="19"/>
        <v>17151.696324696328</v>
      </c>
      <c r="DJ20" s="4">
        <f t="shared" si="19"/>
        <v>17323.21328794329</v>
      </c>
      <c r="DK20" s="4">
        <f t="shared" si="19"/>
        <v>17496.445420822722</v>
      </c>
      <c r="DL20" s="4">
        <f t="shared" si="19"/>
        <v>17671.409875030949</v>
      </c>
      <c r="DM20" s="4">
        <f t="shared" si="19"/>
        <v>17848.123973781258</v>
      </c>
      <c r="DN20" s="4">
        <f t="shared" si="19"/>
        <v>18026.605213519069</v>
      </c>
      <c r="DO20" s="4">
        <f t="shared" si="19"/>
        <v>18206.871265654259</v>
      </c>
      <c r="DP20" s="4">
        <f t="shared" si="19"/>
        <v>18388.939978310802</v>
      </c>
      <c r="DQ20" s="4">
        <f t="shared" si="19"/>
        <v>18572.829378093909</v>
      </c>
      <c r="DR20" s="4">
        <f t="shared" si="19"/>
        <v>18758.557671874849</v>
      </c>
      <c r="DS20" s="4">
        <f t="shared" si="19"/>
        <v>18946.143248593598</v>
      </c>
      <c r="DT20" s="4">
        <f t="shared" si="19"/>
        <v>19135.604681079534</v>
      </c>
      <c r="DU20" s="4">
        <f t="shared" si="19"/>
        <v>19326.960727890331</v>
      </c>
      <c r="DV20" s="4">
        <f t="shared" si="19"/>
        <v>19520.230335169235</v>
      </c>
      <c r="DW20" s="4">
        <f t="shared" si="19"/>
        <v>19715.432638520928</v>
      </c>
      <c r="DX20" s="4">
        <f t="shared" si="19"/>
        <v>19912.586964906139</v>
      </c>
      <c r="DY20" s="4">
        <f t="shared" si="19"/>
        <v>20111.712834555201</v>
      </c>
      <c r="DZ20" s="4">
        <f t="shared" si="19"/>
        <v>20312.829962900752</v>
      </c>
      <c r="EA20" s="4">
        <f t="shared" si="19"/>
        <v>20515.958262529759</v>
      </c>
      <c r="EB20" s="4">
        <f t="shared" si="19"/>
        <v>20721.117845155055</v>
      </c>
      <c r="EC20" s="4">
        <f t="shared" si="19"/>
        <v>20928.329023606606</v>
      </c>
      <c r="ED20" s="4">
        <f t="shared" si="19"/>
        <v>21137.612313842674</v>
      </c>
      <c r="EE20" s="4">
        <f t="shared" si="19"/>
        <v>21348.988436981101</v>
      </c>
      <c r="EF20" s="4">
        <f t="shared" si="19"/>
        <v>21562.478321350911</v>
      </c>
      <c r="EG20" s="4">
        <f t="shared" si="19"/>
        <v>21778.103104564419</v>
      </c>
      <c r="EH20" s="4">
        <f t="shared" si="19"/>
        <v>21995.884135610064</v>
      </c>
      <c r="EI20" s="4">
        <f t="shared" si="19"/>
        <v>22215.842976966163</v>
      </c>
      <c r="EJ20" s="4">
        <f t="shared" si="19"/>
        <v>22438.001406735824</v>
      </c>
      <c r="EK20" s="4">
        <f t="shared" si="19"/>
        <v>22662.381420803184</v>
      </c>
      <c r="EL20" s="4">
        <f t="shared" si="19"/>
        <v>22889.005235011216</v>
      </c>
      <c r="EM20" s="4">
        <f t="shared" si="19"/>
        <v>23117.895287361327</v>
      </c>
      <c r="EN20" s="4">
        <f t="shared" si="19"/>
        <v>23349.074240234939</v>
      </c>
      <c r="EO20" s="4">
        <f t="shared" si="19"/>
        <v>23582.56498263729</v>
      </c>
      <c r="EP20" s="4">
        <f t="shared" si="19"/>
        <v>23818.390632463663</v>
      </c>
      <c r="EQ20" s="4">
        <f t="shared" si="19"/>
        <v>24056.5745387883</v>
      </c>
      <c r="ER20" s="4">
        <f t="shared" si="19"/>
        <v>24297.140284176185</v>
      </c>
      <c r="ES20" s="4">
        <f t="shared" si="19"/>
        <v>24540.111687017947</v>
      </c>
      <c r="ET20" s="4">
        <f t="shared" si="19"/>
        <v>24785.512803888127</v>
      </c>
      <c r="EU20" s="4">
        <f t="shared" si="19"/>
        <v>25033.367931927009</v>
      </c>
      <c r="EV20" s="4">
        <f t="shared" si="19"/>
        <v>25283.701611246281</v>
      </c>
      <c r="EW20" s="4">
        <f t="shared" si="19"/>
        <v>25536.538627358743</v>
      </c>
      <c r="EX20" s="4">
        <f t="shared" si="19"/>
        <v>25791.904013632331</v>
      </c>
      <c r="EY20" s="4">
        <f t="shared" si="19"/>
        <v>26049.823053768654</v>
      </c>
      <c r="EZ20" s="4">
        <f t="shared" si="19"/>
        <v>26310.321284306341</v>
      </c>
      <c r="FA20" s="4">
        <f t="shared" si="19"/>
        <v>26573.424497149404</v>
      </c>
      <c r="FB20" s="4">
        <f t="shared" si="19"/>
        <v>26839.158742120901</v>
      </c>
      <c r="FC20" s="4">
        <f t="shared" ref="FC20:GI20" si="20">+FB20*(1+$AF$22)</f>
        <v>27107.550329542111</v>
      </c>
      <c r="FD20" s="4">
        <f t="shared" si="20"/>
        <v>27378.625832837533</v>
      </c>
      <c r="FE20" s="4">
        <f t="shared" si="20"/>
        <v>27652.412091165908</v>
      </c>
      <c r="FF20" s="4">
        <f t="shared" si="20"/>
        <v>27928.936212077566</v>
      </c>
      <c r="FG20" s="4">
        <f t="shared" si="20"/>
        <v>28208.225574198343</v>
      </c>
      <c r="FH20" s="4">
        <f t="shared" si="20"/>
        <v>28490.307829940328</v>
      </c>
      <c r="FI20" s="4">
        <f t="shared" si="20"/>
        <v>28775.210908239733</v>
      </c>
      <c r="FJ20" s="4">
        <f t="shared" si="20"/>
        <v>29062.96301732213</v>
      </c>
      <c r="FK20" s="4">
        <f t="shared" si="20"/>
        <v>29353.592647495352</v>
      </c>
      <c r="FL20" s="4">
        <f t="shared" si="20"/>
        <v>29647.128573970305</v>
      </c>
      <c r="FM20" s="4">
        <f t="shared" si="20"/>
        <v>29943.599859710008</v>
      </c>
      <c r="FN20" s="4">
        <f t="shared" si="20"/>
        <v>30243.035858307107</v>
      </c>
      <c r="FO20" s="4">
        <f t="shared" si="20"/>
        <v>30545.466216890178</v>
      </c>
      <c r="FP20" s="4">
        <f t="shared" si="20"/>
        <v>30850.920879059078</v>
      </c>
      <c r="FQ20" s="4">
        <f t="shared" si="20"/>
        <v>31159.430087849669</v>
      </c>
      <c r="FR20" s="4">
        <f t="shared" si="20"/>
        <v>31471.024388728165</v>
      </c>
      <c r="FS20" s="4">
        <f t="shared" si="20"/>
        <v>31785.734632615447</v>
      </c>
      <c r="FT20" s="4">
        <f t="shared" si="20"/>
        <v>32103.591978941604</v>
      </c>
      <c r="FU20" s="4">
        <f t="shared" si="20"/>
        <v>32424.627898731022</v>
      </c>
      <c r="FV20" s="4">
        <f t="shared" si="20"/>
        <v>32748.874177718331</v>
      </c>
      <c r="FW20" s="4">
        <f t="shared" si="20"/>
        <v>33076.362919495514</v>
      </c>
      <c r="FX20" s="4">
        <f t="shared" si="20"/>
        <v>33407.126548690467</v>
      </c>
      <c r="FY20" s="4">
        <f t="shared" si="20"/>
        <v>33741.197814177372</v>
      </c>
      <c r="FZ20" s="4">
        <f t="shared" si="20"/>
        <v>34078.609792319148</v>
      </c>
      <c r="GA20" s="4">
        <f t="shared" si="20"/>
        <v>34419.39589024234</v>
      </c>
      <c r="GB20" s="4">
        <f t="shared" si="20"/>
        <v>34763.589849144766</v>
      </c>
      <c r="GC20" s="4">
        <f t="shared" si="20"/>
        <v>35111.225747636214</v>
      </c>
      <c r="GD20" s="4">
        <f t="shared" si="20"/>
        <v>35462.338005112579</v>
      </c>
      <c r="GE20" s="4">
        <f t="shared" si="20"/>
        <v>35816.961385163704</v>
      </c>
      <c r="GF20" s="4">
        <f t="shared" si="20"/>
        <v>36175.130999015339</v>
      </c>
      <c r="GG20" s="4">
        <f t="shared" si="20"/>
        <v>36536.882309005494</v>
      </c>
      <c r="GH20" s="4">
        <f t="shared" si="20"/>
        <v>36902.251132095553</v>
      </c>
      <c r="GI20" s="4">
        <f t="shared" si="20"/>
        <v>37271.273643416505</v>
      </c>
    </row>
    <row r="21" spans="2:191" s="2" customFormat="1">
      <c r="B21" s="2" t="s">
        <v>42</v>
      </c>
      <c r="C21" s="5">
        <f t="shared" ref="C21:F21" si="21">+C20/C22</f>
        <v>3.6969696969696968</v>
      </c>
      <c r="D21" s="5">
        <f t="shared" si="21"/>
        <v>3.6</v>
      </c>
      <c r="E21" s="5">
        <f t="shared" si="21"/>
        <v>4.6893203883495147</v>
      </c>
      <c r="F21" s="5">
        <f t="shared" si="21"/>
        <v>6.2673267326732676</v>
      </c>
      <c r="G21" s="5">
        <f>+G20/G22</f>
        <v>6.7307692307692308</v>
      </c>
      <c r="H21" s="5">
        <f>+H20/H22</f>
        <v>5.7788461538461542</v>
      </c>
      <c r="I21" s="5">
        <f>+I20/I22</f>
        <v>7.2149532710280377</v>
      </c>
      <c r="J21" s="5">
        <f>+J20/J22</f>
        <v>6.9716981132075473</v>
      </c>
      <c r="K21" s="5">
        <f>+K20/K22</f>
        <v>7.3611111111111107</v>
      </c>
      <c r="L21" s="5">
        <f>+L20/L22</f>
        <v>7.4220183486238529</v>
      </c>
      <c r="M21" s="5">
        <f>+M20/M22</f>
        <v>7.581818181818182</v>
      </c>
      <c r="N21" s="5">
        <f>+N20/N22</f>
        <v>8.8899082568807337</v>
      </c>
      <c r="O21" s="5">
        <f>+O20/O22</f>
        <v>8.7636363636363637</v>
      </c>
      <c r="P21" s="5">
        <f>+P20/P22</f>
        <v>2.2811791383219955</v>
      </c>
      <c r="Q21" s="5">
        <f>+Q20/Q22</f>
        <v>2.6532438478747205</v>
      </c>
      <c r="R21" s="5">
        <f>+R20/R22</f>
        <v>2.8303571428571428</v>
      </c>
      <c r="S21" s="5">
        <f>+S20/S22</f>
        <v>2.8586607142857146</v>
      </c>
      <c r="U21" s="5">
        <f>+U20/U22</f>
        <v>18.237623762376238</v>
      </c>
      <c r="V21" s="5">
        <f>+V20/V22</f>
        <v>26.443396226415093</v>
      </c>
      <c r="W21" s="5">
        <f>+W20/W22</f>
        <v>31.256880733944953</v>
      </c>
      <c r="X21" s="5">
        <f>+X20/X22</f>
        <v>10.597362811791383</v>
      </c>
      <c r="Y21" s="5">
        <f t="shared" ref="Y21:AC21" si="22">+Y20/Y22</f>
        <v>11.969079637188209</v>
      </c>
      <c r="Z21" s="5">
        <f t="shared" si="22"/>
        <v>13.762585617233562</v>
      </c>
      <c r="AA21" s="5">
        <f t="shared" si="22"/>
        <v>14.780906514857145</v>
      </c>
      <c r="AB21" s="5">
        <f t="shared" si="22"/>
        <v>16.185164164161726</v>
      </c>
      <c r="AC21" s="5">
        <f t="shared" si="22"/>
        <v>16.860602571606591</v>
      </c>
      <c r="AE21"/>
      <c r="AF21"/>
    </row>
    <row r="22" spans="2:191">
      <c r="B22" t="s">
        <v>3</v>
      </c>
      <c r="C22" s="3">
        <v>99</v>
      </c>
      <c r="D22" s="3">
        <v>100</v>
      </c>
      <c r="E22" s="3">
        <v>103</v>
      </c>
      <c r="F22" s="3">
        <v>101</v>
      </c>
      <c r="G22" s="3">
        <v>104</v>
      </c>
      <c r="H22" s="3">
        <v>104</v>
      </c>
      <c r="I22" s="3">
        <v>107</v>
      </c>
      <c r="J22" s="3">
        <v>106</v>
      </c>
      <c r="K22" s="3">
        <v>108</v>
      </c>
      <c r="L22" s="3">
        <v>109</v>
      </c>
      <c r="M22" s="3">
        <v>110</v>
      </c>
      <c r="N22" s="3">
        <v>109</v>
      </c>
      <c r="O22" s="3">
        <v>110</v>
      </c>
      <c r="P22" s="3">
        <v>441</v>
      </c>
      <c r="Q22" s="3">
        <v>447</v>
      </c>
      <c r="R22" s="3">
        <v>448</v>
      </c>
      <c r="S22">
        <v>448</v>
      </c>
      <c r="U22" s="3">
        <v>101</v>
      </c>
      <c r="V22" s="3">
        <v>106</v>
      </c>
      <c r="W22" s="3">
        <v>109</v>
      </c>
      <c r="X22" s="3">
        <v>441</v>
      </c>
      <c r="Y22" s="3">
        <v>441</v>
      </c>
      <c r="Z22" s="3">
        <v>441</v>
      </c>
      <c r="AA22" s="3">
        <v>441</v>
      </c>
      <c r="AB22" s="3">
        <v>441</v>
      </c>
      <c r="AC22" s="3">
        <v>441</v>
      </c>
      <c r="AE22" s="9" t="s">
        <v>43</v>
      </c>
      <c r="AF22" s="10">
        <v>0.01</v>
      </c>
    </row>
    <row r="23" spans="2:191">
      <c r="C23" s="3"/>
      <c r="D23" s="3"/>
      <c r="E23" s="3"/>
      <c r="F23" s="3"/>
      <c r="G23" s="3"/>
      <c r="H23" s="3"/>
      <c r="I23" s="3"/>
      <c r="K23" s="3"/>
      <c r="L23" s="3"/>
      <c r="M23" s="3"/>
      <c r="N23" s="3"/>
      <c r="O23" s="3"/>
      <c r="P23" s="3"/>
      <c r="Q23" s="3"/>
      <c r="AE23" s="11" t="s">
        <v>44</v>
      </c>
      <c r="AF23" s="12">
        <v>8.5000000000000006E-2</v>
      </c>
    </row>
    <row r="24" spans="2:191" s="2" customFormat="1">
      <c r="B24" s="2" t="s">
        <v>45</v>
      </c>
      <c r="C24" s="6" t="e">
        <f t="shared" ref="C24:F24" si="23">+C8/#REF!</f>
        <v>#REF!</v>
      </c>
      <c r="D24" s="6" t="e">
        <f t="shared" ref="D24:F24" si="24">+D8/#REF!</f>
        <v>#REF!</v>
      </c>
      <c r="E24" s="6" t="e">
        <f t="shared" si="24"/>
        <v>#REF!</v>
      </c>
      <c r="F24" s="6" t="e">
        <f t="shared" si="24"/>
        <v>#REF!</v>
      </c>
      <c r="G24" s="6">
        <f t="shared" ref="G24:O24" si="25">+G8/C8</f>
        <v>1.6372093023255814</v>
      </c>
      <c r="H24" s="6">
        <f t="shared" si="25"/>
        <v>1.524390243902439</v>
      </c>
      <c r="I24" s="6">
        <f t="shared" si="25"/>
        <v>1.4493670886075949</v>
      </c>
      <c r="J24" s="6">
        <f t="shared" si="25"/>
        <v>1.1670081967213115</v>
      </c>
      <c r="K24" s="6">
        <f t="shared" si="25"/>
        <v>1.1392045454545454</v>
      </c>
      <c r="L24" s="6">
        <f t="shared" si="25"/>
        <v>1.23</v>
      </c>
      <c r="M24" s="6">
        <f t="shared" si="25"/>
        <v>1.1921397379912664</v>
      </c>
      <c r="N24" s="6">
        <f t="shared" si="25"/>
        <v>1.2177348551360843</v>
      </c>
      <c r="O24" s="6">
        <f t="shared" si="25"/>
        <v>1.1862011637572736</v>
      </c>
      <c r="P24" s="6">
        <f>+P8/L8</f>
        <v>1.2032520325203253</v>
      </c>
      <c r="Q24" s="6">
        <f>+Q8/M8</f>
        <v>1.2124542124542124</v>
      </c>
      <c r="V24" s="17">
        <f>+V8/U8-1</f>
        <v>0.42223671340071722</v>
      </c>
      <c r="W24" s="17">
        <f t="shared" ref="W24:AC24" si="26">+W8/V8-1</f>
        <v>0.18867491976157735</v>
      </c>
      <c r="X24" s="17">
        <f t="shared" si="26"/>
        <v>0.1100000000000001</v>
      </c>
      <c r="Y24" s="17">
        <f t="shared" si="26"/>
        <v>9.000000000000008E-2</v>
      </c>
      <c r="Z24" s="17">
        <f t="shared" si="26"/>
        <v>0.19999999999999996</v>
      </c>
      <c r="AA24" s="17">
        <f t="shared" si="26"/>
        <v>8.0000000000000071E-2</v>
      </c>
      <c r="AB24" s="17">
        <f t="shared" si="26"/>
        <v>7.0000000000000062E-2</v>
      </c>
      <c r="AC24" s="17">
        <f t="shared" si="26"/>
        <v>5.0000000000000044E-2</v>
      </c>
      <c r="AE24" s="11" t="s">
        <v>46</v>
      </c>
      <c r="AF24" s="13">
        <v>0.1</v>
      </c>
    </row>
    <row r="25" spans="2:191" s="2" customFormat="1">
      <c r="B25" s="2" t="s">
        <v>47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V25" s="17">
        <f>+V10/V8</f>
        <v>0.911508482347547</v>
      </c>
      <c r="W25" s="17">
        <f t="shared" ref="W25:AC25" si="27">+W10/W8</f>
        <v>0.91378977820636453</v>
      </c>
      <c r="X25" s="17">
        <f t="shared" si="27"/>
        <v>0.88086041682955851</v>
      </c>
      <c r="Y25" s="17">
        <f t="shared" si="27"/>
        <v>0.90510428151294087</v>
      </c>
      <c r="Z25" s="17">
        <f t="shared" si="27"/>
        <v>0.85984906743729383</v>
      </c>
      <c r="AA25" s="17">
        <f t="shared" si="27"/>
        <v>0.85188750199805963</v>
      </c>
      <c r="AB25" s="17">
        <f t="shared" si="27"/>
        <v>0.86781063287652815</v>
      </c>
      <c r="AC25" s="17">
        <f t="shared" si="27"/>
        <v>0.8595457697062755</v>
      </c>
      <c r="AE25" s="11" t="s">
        <v>48</v>
      </c>
      <c r="AF25" s="14">
        <f>NPV(AF23,U20:GI20)+Sheet1!H6-Sheet1!H7</f>
        <v>81054.492218252679</v>
      </c>
    </row>
    <row r="26" spans="2:191">
      <c r="C26" s="3"/>
      <c r="D26" s="3"/>
      <c r="E26" s="3"/>
      <c r="F26" s="3"/>
      <c r="G26" s="3"/>
      <c r="H26" s="3"/>
      <c r="I26" s="3"/>
      <c r="K26" s="3"/>
      <c r="L26" s="3"/>
      <c r="M26" s="3"/>
      <c r="N26" s="3"/>
      <c r="O26" s="3"/>
      <c r="P26" s="3"/>
      <c r="Q26" s="3"/>
      <c r="AE26" s="11" t="s">
        <v>49</v>
      </c>
      <c r="AF26" s="14">
        <f>+AF25/Sheet1!H4</f>
        <v>182.14492633315209</v>
      </c>
    </row>
    <row r="27" spans="2:191">
      <c r="B27" t="s">
        <v>50</v>
      </c>
      <c r="C27" s="3">
        <f>3214</f>
        <v>3214</v>
      </c>
      <c r="D27" s="3">
        <f>2881</f>
        <v>2881</v>
      </c>
      <c r="E27" s="3">
        <f>3184</f>
        <v>3184</v>
      </c>
      <c r="F27" s="3">
        <f>3436</f>
        <v>3436</v>
      </c>
      <c r="G27" s="3">
        <f>3214</f>
        <v>3214</v>
      </c>
      <c r="H27" s="3">
        <f>3681</f>
        <v>3681</v>
      </c>
      <c r="I27" s="3">
        <f>3824</f>
        <v>3824</v>
      </c>
      <c r="J27" s="3">
        <f>3753</f>
        <v>3753</v>
      </c>
      <c r="K27" s="3">
        <f>4063</f>
        <v>4063</v>
      </c>
      <c r="L27" s="3">
        <f>3918</f>
        <v>3918</v>
      </c>
      <c r="M27" s="3">
        <f>3595</f>
        <v>3595</v>
      </c>
      <c r="N27" s="3">
        <f>3633</f>
        <v>3633</v>
      </c>
      <c r="O27" s="3">
        <f>3500</f>
        <v>3500</v>
      </c>
      <c r="P27" s="3">
        <v>4688</v>
      </c>
      <c r="Q27" s="3">
        <v>5128</v>
      </c>
      <c r="AE27" s="15" t="s">
        <v>51</v>
      </c>
      <c r="AF27" s="16">
        <f>+AF26/Sheet1!H3-1</f>
        <v>1.4951359771664667</v>
      </c>
    </row>
    <row r="28" spans="2:191">
      <c r="B28" t="s">
        <v>52</v>
      </c>
      <c r="C28" s="7">
        <v>24354</v>
      </c>
      <c r="D28" s="7">
        <v>23536</v>
      </c>
      <c r="E28" s="7">
        <v>25432</v>
      </c>
      <c r="F28" s="7">
        <v>25167</v>
      </c>
      <c r="G28" s="7">
        <v>24354</v>
      </c>
      <c r="H28" s="7">
        <v>25770</v>
      </c>
      <c r="I28" s="7">
        <v>26385</v>
      </c>
      <c r="J28" s="7">
        <v>28840</v>
      </c>
      <c r="K28" s="7">
        <v>29961</v>
      </c>
      <c r="L28" s="7">
        <v>31370</v>
      </c>
      <c r="M28" s="7">
        <v>35216</v>
      </c>
      <c r="N28" s="3">
        <v>36600</v>
      </c>
      <c r="O28" s="7">
        <v>39173</v>
      </c>
      <c r="P28" s="3">
        <v>45057</v>
      </c>
      <c r="Q28" s="3">
        <v>48784</v>
      </c>
    </row>
    <row r="29" spans="2:191">
      <c r="B29" t="s">
        <v>53</v>
      </c>
      <c r="C29" s="3">
        <f t="shared" ref="C29" si="28">36987+5306+6699</f>
        <v>48992</v>
      </c>
      <c r="D29" s="3">
        <f>30709+3855+6288</f>
        <v>40852</v>
      </c>
      <c r="E29" s="3">
        <f>31301+3908+4860</f>
        <v>40069</v>
      </c>
      <c r="F29" s="3">
        <f>31781+4749+6029</f>
        <v>42559</v>
      </c>
      <c r="G29" s="3">
        <f>36987+5306+6699</f>
        <v>48992</v>
      </c>
      <c r="H29" s="3">
        <f>33457+5999+6431</f>
        <v>45887</v>
      </c>
      <c r="I29" s="3">
        <f>31335+5478+5480</f>
        <v>42293</v>
      </c>
      <c r="J29" s="3">
        <f>35386+5835+5504</f>
        <v>46725</v>
      </c>
      <c r="K29" s="3">
        <f>29292+6362+6674</f>
        <v>42328</v>
      </c>
      <c r="L29" s="3">
        <f>28318+6218+6211</f>
        <v>40747</v>
      </c>
      <c r="M29" s="3">
        <f>31103+7513+8176</f>
        <v>46792</v>
      </c>
      <c r="N29" s="3">
        <f>27846+5369+6575</f>
        <v>39790</v>
      </c>
      <c r="O29" s="3">
        <f>29394+5845+8376</f>
        <v>43615</v>
      </c>
      <c r="P29" s="3">
        <f>36972+10145+9529</f>
        <v>56646</v>
      </c>
      <c r="Q29" s="3">
        <f>38691+11568</f>
        <v>50259</v>
      </c>
    </row>
    <row r="30" spans="2:191">
      <c r="B30" t="s">
        <v>54</v>
      </c>
      <c r="C30" s="3">
        <f t="shared" ref="C30" si="29">310+73</f>
        <v>383</v>
      </c>
      <c r="D30" s="3">
        <f>367+184</f>
        <v>551</v>
      </c>
      <c r="E30" s="3">
        <f>1036+57</f>
        <v>1093</v>
      </c>
      <c r="F30" s="3">
        <f>396+89</f>
        <v>485</v>
      </c>
      <c r="G30" s="3">
        <f>310+73</f>
        <v>383</v>
      </c>
      <c r="H30" s="3">
        <f>398+97</f>
        <v>495</v>
      </c>
      <c r="I30" s="3">
        <f>744+580</f>
        <v>1324</v>
      </c>
      <c r="J30" s="3">
        <f>1422+66</f>
        <v>1488</v>
      </c>
      <c r="K30" s="3">
        <f>1050+62</f>
        <v>1112</v>
      </c>
      <c r="L30" s="3">
        <f>1658+108</f>
        <v>1766</v>
      </c>
      <c r="M30" s="3">
        <f>2844+105</f>
        <v>2949</v>
      </c>
      <c r="N30" s="3">
        <f>1847+77</f>
        <v>1924</v>
      </c>
      <c r="O30" s="3">
        <f>3336+70</f>
        <v>3406</v>
      </c>
      <c r="P30" s="3">
        <f>3777+79</f>
        <v>3856</v>
      </c>
      <c r="Q30" s="3">
        <v>3127</v>
      </c>
    </row>
    <row r="31" spans="2:191">
      <c r="B31" t="s">
        <v>55</v>
      </c>
      <c r="C31" s="3">
        <v>41541</v>
      </c>
      <c r="D31" s="3">
        <v>44641</v>
      </c>
      <c r="E31" s="3">
        <v>43969</v>
      </c>
      <c r="F31" s="3">
        <v>42570</v>
      </c>
      <c r="G31" s="3">
        <v>41541</v>
      </c>
      <c r="H31" s="3">
        <v>43757</v>
      </c>
      <c r="I31" s="3">
        <v>45768</v>
      </c>
      <c r="J31" s="3">
        <v>46490</v>
      </c>
      <c r="K31" s="3">
        <v>53516</v>
      </c>
      <c r="L31" s="3">
        <v>57565</v>
      </c>
      <c r="M31" s="3">
        <v>58639</v>
      </c>
      <c r="N31" s="3">
        <v>67074</v>
      </c>
      <c r="O31" s="3">
        <v>66795</v>
      </c>
      <c r="P31" s="3">
        <v>69874</v>
      </c>
      <c r="Q31" s="3">
        <f>77588+4773</f>
        <v>82361</v>
      </c>
    </row>
    <row r="32" spans="2:191">
      <c r="B32" t="s">
        <v>56</v>
      </c>
      <c r="C32" s="3">
        <v>985</v>
      </c>
      <c r="D32" s="3">
        <v>925</v>
      </c>
      <c r="E32" s="3">
        <v>936</v>
      </c>
      <c r="F32" s="3">
        <v>926</v>
      </c>
      <c r="G32" s="3">
        <v>985</v>
      </c>
      <c r="H32" s="3">
        <v>1003</v>
      </c>
      <c r="I32" s="3">
        <v>1042</v>
      </c>
      <c r="J32" s="3">
        <v>1127</v>
      </c>
      <c r="K32" s="3">
        <v>1258</v>
      </c>
      <c r="L32" s="3">
        <v>1282</v>
      </c>
      <c r="M32" s="3">
        <v>1335</v>
      </c>
      <c r="N32" s="3">
        <v>1121</v>
      </c>
      <c r="O32" s="3">
        <v>1181</v>
      </c>
      <c r="P32" s="3">
        <v>1354</v>
      </c>
      <c r="Q32" s="3">
        <v>2039</v>
      </c>
    </row>
    <row r="33" spans="2:17" s="2" customFormat="1">
      <c r="B33" s="2" t="s">
        <v>57</v>
      </c>
      <c r="C33" s="4">
        <f t="shared" ref="C33:F33" si="30">SUM(C27:C32)</f>
        <v>119469</v>
      </c>
      <c r="D33" s="4">
        <f t="shared" si="30"/>
        <v>113386</v>
      </c>
      <c r="E33" s="4">
        <f t="shared" si="30"/>
        <v>114683</v>
      </c>
      <c r="F33" s="4">
        <f t="shared" si="30"/>
        <v>115143</v>
      </c>
      <c r="G33" s="4">
        <f>SUM(G27:G32)</f>
        <v>119469</v>
      </c>
      <c r="H33" s="4">
        <f>SUM(H27:H32)</f>
        <v>120593</v>
      </c>
      <c r="I33" s="4">
        <f>SUM(I27:I32)</f>
        <v>120636</v>
      </c>
      <c r="J33" s="4">
        <f>SUM(J27:J32)</f>
        <v>128423</v>
      </c>
      <c r="K33" s="4">
        <f>SUM(K27:K32)</f>
        <v>132238</v>
      </c>
      <c r="L33" s="4">
        <f>SUM(L27:L32)</f>
        <v>136648</v>
      </c>
      <c r="M33" s="4">
        <f>SUM(M27:M32)</f>
        <v>148526</v>
      </c>
      <c r="N33" s="4">
        <f>SUM(N27:N32)</f>
        <v>150142</v>
      </c>
      <c r="O33" s="4">
        <f>SUM(O27:O32)</f>
        <v>157670</v>
      </c>
      <c r="P33" s="4">
        <f>SUM(P27:P32)</f>
        <v>181475</v>
      </c>
      <c r="Q33" s="4">
        <f>SUM(Q27:Q32)</f>
        <v>191698</v>
      </c>
    </row>
    <row r="34" spans="2:17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2:17">
      <c r="B35" t="s">
        <v>58</v>
      </c>
      <c r="C35" s="3">
        <v>10</v>
      </c>
      <c r="D35" s="3">
        <v>17</v>
      </c>
      <c r="E35" s="3">
        <v>35</v>
      </c>
      <c r="F35" s="3">
        <v>18</v>
      </c>
      <c r="G35" s="3">
        <v>10</v>
      </c>
      <c r="H35" s="3">
        <v>17</v>
      </c>
      <c r="I35" s="3">
        <v>11</v>
      </c>
      <c r="J35" s="3">
        <v>17</v>
      </c>
      <c r="K35" s="3">
        <v>14</v>
      </c>
      <c r="L35" s="3">
        <v>11</v>
      </c>
      <c r="M35" s="3">
        <v>33</v>
      </c>
      <c r="N35" s="3">
        <v>14</v>
      </c>
      <c r="O35" s="3">
        <v>12</v>
      </c>
      <c r="P35" s="3">
        <v>8</v>
      </c>
      <c r="Q35" s="3">
        <v>10</v>
      </c>
    </row>
    <row r="36" spans="2:17">
      <c r="B36" t="s">
        <v>59</v>
      </c>
      <c r="C36" s="3">
        <v>10719</v>
      </c>
      <c r="D36" s="3">
        <v>10696</v>
      </c>
      <c r="E36" s="3">
        <v>9490</v>
      </c>
      <c r="F36" s="3">
        <v>8940</v>
      </c>
      <c r="G36" s="3">
        <v>10719</v>
      </c>
      <c r="H36" s="3">
        <v>10261</v>
      </c>
      <c r="I36" s="3">
        <v>10482</v>
      </c>
      <c r="J36" s="3">
        <v>11347</v>
      </c>
      <c r="K36" s="3">
        <v>14216</v>
      </c>
      <c r="L36" s="3">
        <v>15682</v>
      </c>
      <c r="M36" s="3">
        <v>16818</v>
      </c>
      <c r="N36" s="3">
        <v>16248</v>
      </c>
      <c r="O36" s="3">
        <v>16894</v>
      </c>
      <c r="P36" s="3">
        <v>21229</v>
      </c>
      <c r="Q36" s="3">
        <f>27031+894</f>
        <v>27925</v>
      </c>
    </row>
    <row r="37" spans="2:17">
      <c r="B37" t="s">
        <v>60</v>
      </c>
      <c r="C37" s="3">
        <v>190</v>
      </c>
      <c r="D37" s="3">
        <v>218</v>
      </c>
      <c r="E37" s="3">
        <v>411</v>
      </c>
      <c r="F37" s="3">
        <v>146</v>
      </c>
      <c r="G37" s="3">
        <v>190</v>
      </c>
      <c r="H37" s="3">
        <v>157</v>
      </c>
      <c r="I37" s="3">
        <v>198</v>
      </c>
      <c r="J37" s="3">
        <v>193</v>
      </c>
      <c r="K37" s="3">
        <v>236</v>
      </c>
      <c r="L37" s="3">
        <v>473</v>
      </c>
      <c r="M37" s="3">
        <v>381</v>
      </c>
      <c r="N37" s="3">
        <v>293</v>
      </c>
      <c r="O37" s="3">
        <v>252</v>
      </c>
      <c r="P37" s="3">
        <v>494</v>
      </c>
      <c r="Q37" s="3">
        <v>499</v>
      </c>
    </row>
    <row r="38" spans="2:17">
      <c r="B38" t="s">
        <v>61</v>
      </c>
      <c r="C38" s="3">
        <v>94897</v>
      </c>
      <c r="D38" s="3">
        <v>90765</v>
      </c>
      <c r="E38" s="3">
        <v>92594</v>
      </c>
      <c r="F38" s="3">
        <v>93195</v>
      </c>
      <c r="G38" s="3">
        <v>94897</v>
      </c>
      <c r="H38" s="3">
        <v>95999</v>
      </c>
      <c r="I38" s="3">
        <v>94873</v>
      </c>
      <c r="J38" s="3">
        <v>101012</v>
      </c>
      <c r="K38" s="3">
        <v>101197</v>
      </c>
      <c r="L38" s="3">
        <v>103373</v>
      </c>
      <c r="M38" s="3">
        <v>112579</v>
      </c>
      <c r="N38" s="3">
        <v>115343</v>
      </c>
      <c r="O38" s="3">
        <v>120654</v>
      </c>
      <c r="P38" s="3">
        <v>138417</v>
      </c>
      <c r="Q38" s="3">
        <v>149442</v>
      </c>
    </row>
    <row r="39" spans="2:17">
      <c r="B39" t="s">
        <v>62</v>
      </c>
      <c r="C39" s="3">
        <v>369</v>
      </c>
      <c r="D39" s="3">
        <v>308</v>
      </c>
      <c r="E39" s="3">
        <v>380</v>
      </c>
      <c r="F39" s="3">
        <v>291</v>
      </c>
      <c r="G39" s="3">
        <v>369</v>
      </c>
      <c r="H39" s="3">
        <v>376</v>
      </c>
      <c r="I39" s="3">
        <v>627</v>
      </c>
      <c r="J39" s="3">
        <v>590</v>
      </c>
      <c r="K39" s="3">
        <v>561</v>
      </c>
      <c r="L39" s="3">
        <v>570</v>
      </c>
      <c r="M39" s="3">
        <v>1202</v>
      </c>
      <c r="N39" s="3">
        <v>476</v>
      </c>
      <c r="O39" s="3">
        <v>1226</v>
      </c>
      <c r="P39" s="3">
        <v>1682</v>
      </c>
      <c r="Q39" s="3">
        <v>1541</v>
      </c>
    </row>
    <row r="40" spans="2:17">
      <c r="B40" t="s">
        <v>63</v>
      </c>
      <c r="C40" s="3">
        <v>214</v>
      </c>
      <c r="D40" s="3">
        <v>202</v>
      </c>
      <c r="E40" s="3">
        <v>220</v>
      </c>
      <c r="F40" s="3">
        <v>241</v>
      </c>
      <c r="G40" s="3">
        <v>214</v>
      </c>
      <c r="H40" s="3">
        <v>189</v>
      </c>
      <c r="I40" s="3">
        <v>212</v>
      </c>
      <c r="J40" s="3">
        <v>210</v>
      </c>
      <c r="K40" s="3">
        <v>206</v>
      </c>
      <c r="L40" s="3">
        <v>192</v>
      </c>
      <c r="M40" s="3">
        <v>185</v>
      </c>
      <c r="N40" s="3">
        <v>195</v>
      </c>
      <c r="O40" s="3">
        <v>195</v>
      </c>
      <c r="P40" s="3">
        <v>180</v>
      </c>
      <c r="Q40" s="3">
        <v>0</v>
      </c>
    </row>
    <row r="41" spans="2:17">
      <c r="B41" t="s">
        <v>64</v>
      </c>
      <c r="C41" s="3">
        <v>600</v>
      </c>
      <c r="D41" s="3">
        <v>542</v>
      </c>
      <c r="E41" s="3">
        <v>554</v>
      </c>
      <c r="F41" s="3">
        <v>531</v>
      </c>
      <c r="G41" s="3">
        <v>600</v>
      </c>
      <c r="H41" s="3">
        <v>667</v>
      </c>
      <c r="I41" s="3">
        <v>681</v>
      </c>
      <c r="J41" s="3">
        <v>676</v>
      </c>
      <c r="K41" s="3">
        <v>830</v>
      </c>
      <c r="L41" s="3">
        <v>843</v>
      </c>
      <c r="M41" s="3">
        <v>996</v>
      </c>
      <c r="N41" s="3">
        <v>665</v>
      </c>
      <c r="O41" s="3">
        <v>657</v>
      </c>
      <c r="P41" s="3">
        <v>664</v>
      </c>
      <c r="Q41" s="3">
        <v>0</v>
      </c>
    </row>
    <row r="42" spans="2:17">
      <c r="B42" t="s">
        <v>65</v>
      </c>
      <c r="C42" s="3">
        <v>237</v>
      </c>
      <c r="D42" s="3">
        <v>36</v>
      </c>
      <c r="E42" s="3">
        <v>99</v>
      </c>
      <c r="F42" s="3">
        <v>193</v>
      </c>
      <c r="G42" s="3">
        <v>237</v>
      </c>
      <c r="H42" s="3">
        <v>270</v>
      </c>
      <c r="I42" s="3">
        <v>288</v>
      </c>
      <c r="J42" s="3">
        <v>311</v>
      </c>
      <c r="K42" s="3">
        <v>319</v>
      </c>
      <c r="L42" s="3">
        <v>320</v>
      </c>
      <c r="M42" s="3">
        <v>327</v>
      </c>
      <c r="N42" s="3">
        <v>311</v>
      </c>
      <c r="O42" s="3">
        <v>297</v>
      </c>
      <c r="P42" s="3">
        <v>283</v>
      </c>
      <c r="Q42" s="3">
        <v>1325</v>
      </c>
    </row>
    <row r="43" spans="2:17" s="2" customFormat="1">
      <c r="B43" s="2" t="s">
        <v>66</v>
      </c>
      <c r="C43" s="4">
        <f t="shared" ref="C43:F43" si="31">SUM(C35:C41)</f>
        <v>106999</v>
      </c>
      <c r="D43" s="4">
        <f t="shared" si="31"/>
        <v>102748</v>
      </c>
      <c r="E43" s="4">
        <f t="shared" si="31"/>
        <v>103684</v>
      </c>
      <c r="F43" s="4">
        <f t="shared" si="31"/>
        <v>103362</v>
      </c>
      <c r="G43" s="4">
        <f>SUM(G35:G41)</f>
        <v>106999</v>
      </c>
      <c r="H43" s="4">
        <f>SUM(H35:H41)</f>
        <v>107666</v>
      </c>
      <c r="I43" s="4">
        <f>SUM(I35:I41)</f>
        <v>107084</v>
      </c>
      <c r="J43" s="4">
        <f>SUM(J35:J41)</f>
        <v>114045</v>
      </c>
      <c r="K43" s="4">
        <f>SUM(K35:K41)</f>
        <v>117260</v>
      </c>
      <c r="L43" s="4">
        <f>SUM(L35:L41)</f>
        <v>121144</v>
      </c>
      <c r="M43" s="4">
        <f>SUM(M35:M41)</f>
        <v>132194</v>
      </c>
      <c r="N43" s="4">
        <f>SUM(N35:N41)</f>
        <v>133234</v>
      </c>
      <c r="O43" s="4">
        <f>SUM(O35:O41)</f>
        <v>139890</v>
      </c>
      <c r="P43" s="4">
        <f>SUM(P35:P41)</f>
        <v>162674</v>
      </c>
      <c r="Q43" s="4">
        <f>SUM(Q35:Q41)</f>
        <v>179417</v>
      </c>
    </row>
    <row r="44" spans="2:17" s="2" customFormat="1">
      <c r="B44" s="2" t="s">
        <v>67</v>
      </c>
      <c r="C44" s="4">
        <f t="shared" ref="C44:F44" si="32">SUM(C35:C43)</f>
        <v>214235</v>
      </c>
      <c r="D44" s="4">
        <f t="shared" si="32"/>
        <v>205532</v>
      </c>
      <c r="E44" s="4">
        <f t="shared" si="32"/>
        <v>207467</v>
      </c>
      <c r="F44" s="4">
        <f t="shared" si="32"/>
        <v>206917</v>
      </c>
      <c r="G44" s="4">
        <f>SUM(G35:G43)</f>
        <v>214235</v>
      </c>
      <c r="H44" s="4">
        <f>SUM(H35:H43)</f>
        <v>215602</v>
      </c>
      <c r="I44" s="4">
        <f>SUM(I35:I43)</f>
        <v>214456</v>
      </c>
      <c r="J44" s="4">
        <f>SUM(J35:J43)</f>
        <v>228401</v>
      </c>
      <c r="K44" s="4">
        <f>SUM(K35:K43)</f>
        <v>234839</v>
      </c>
      <c r="L44" s="4">
        <f>SUM(L35:L43)</f>
        <v>242608</v>
      </c>
      <c r="M44" s="4">
        <f>SUM(M35:M43)</f>
        <v>264715</v>
      </c>
      <c r="N44" s="4">
        <f>SUM(N35:N43)</f>
        <v>266779</v>
      </c>
      <c r="O44" s="4">
        <f>SUM(O35:O43)</f>
        <v>280077</v>
      </c>
      <c r="P44" s="4">
        <f>SUM(P35:P43)</f>
        <v>325631</v>
      </c>
      <c r="Q44" s="4">
        <f>SUM(Q35:Q43)</f>
        <v>360159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Toth, Mr. Tim P.</cp:lastModifiedBy>
  <cp:revision/>
  <dcterms:created xsi:type="dcterms:W3CDTF">2025-10-31T04:06:25Z</dcterms:created>
  <dcterms:modified xsi:type="dcterms:W3CDTF">2025-11-04T15:49:42Z</dcterms:modified>
  <cp:category/>
  <cp:contentStatus/>
</cp:coreProperties>
</file>