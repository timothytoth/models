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1"/>
  <workbookPr/>
  <xr:revisionPtr revIDLastSave="618" documentId="11_0B1D56BE9CDCCE836B02CE7A5FB0D4A9BBFD1C62" xr6:coauthVersionLast="47" xr6:coauthVersionMax="47" xr10:uidLastSave="{0BE0082D-25A8-427A-B161-40CC3F66B50B}"/>
  <bookViews>
    <workbookView xWindow="240" yWindow="105" windowWidth="14805" windowHeight="8010" xr2:uid="{00000000-000D-0000-FFFF-FFFF00000000}"/>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2" l="1"/>
  <c r="J15" i="2"/>
  <c r="J12" i="2"/>
  <c r="J11" i="2"/>
  <c r="J10" i="2"/>
  <c r="J9" i="2"/>
  <c r="J7" i="2"/>
  <c r="J6" i="2"/>
  <c r="J45" i="2"/>
  <c r="J46" i="2" s="1"/>
  <c r="J34" i="2"/>
  <c r="J13" i="2"/>
  <c r="J8" i="2"/>
  <c r="G45" i="2"/>
  <c r="G46" i="2" s="1"/>
  <c r="G25" i="2"/>
  <c r="G34" i="2" s="1"/>
  <c r="G13" i="2"/>
  <c r="G8" i="2"/>
  <c r="H25" i="2"/>
  <c r="H45" i="2"/>
  <c r="H46" i="2" s="1"/>
  <c r="H34" i="2"/>
  <c r="H13" i="2"/>
  <c r="H8" i="2"/>
  <c r="I25" i="2"/>
  <c r="I45" i="2"/>
  <c r="I46" i="2" s="1"/>
  <c r="I34" i="2"/>
  <c r="I13" i="2"/>
  <c r="I8" i="2"/>
  <c r="L22" i="2"/>
  <c r="M22" i="2"/>
  <c r="K22" i="2"/>
  <c r="C45" i="2"/>
  <c r="C46" i="2" s="1"/>
  <c r="C25" i="2"/>
  <c r="C34" i="2" s="1"/>
  <c r="C13" i="2"/>
  <c r="C8" i="2"/>
  <c r="D25" i="2"/>
  <c r="D8" i="2"/>
  <c r="D13" i="2"/>
  <c r="D14" i="2"/>
  <c r="D16" i="2"/>
  <c r="D18" i="2"/>
  <c r="D19" i="2"/>
  <c r="D23" i="2"/>
  <c r="D34" i="2"/>
  <c r="D45" i="2"/>
  <c r="D46" i="2"/>
  <c r="E25" i="2"/>
  <c r="E45" i="2"/>
  <c r="E46" i="2" s="1"/>
  <c r="E34" i="2"/>
  <c r="E13" i="2"/>
  <c r="E8" i="2"/>
  <c r="T50" i="2"/>
  <c r="N25" i="2"/>
  <c r="N15" i="2"/>
  <c r="N12" i="2"/>
  <c r="N11" i="2"/>
  <c r="N10" i="2"/>
  <c r="N9" i="2"/>
  <c r="N7" i="2"/>
  <c r="N6" i="2"/>
  <c r="N22" i="2" s="1"/>
  <c r="N45" i="2"/>
  <c r="N46" i="2" s="1"/>
  <c r="N34" i="2"/>
  <c r="N13" i="2"/>
  <c r="N8" i="2"/>
  <c r="K25" i="2"/>
  <c r="K45" i="2"/>
  <c r="K46" i="2" s="1"/>
  <c r="K34" i="2"/>
  <c r="K13" i="2"/>
  <c r="K8" i="2"/>
  <c r="L25" i="2"/>
  <c r="L45" i="2"/>
  <c r="L46" i="2" s="1"/>
  <c r="L34" i="2"/>
  <c r="L13" i="2"/>
  <c r="L8" i="2"/>
  <c r="M25" i="2"/>
  <c r="M45" i="2"/>
  <c r="M46" i="2" s="1"/>
  <c r="M34" i="2"/>
  <c r="M13" i="2"/>
  <c r="M8" i="2"/>
  <c r="F7" i="1"/>
  <c r="F5" i="1"/>
  <c r="R5" i="2"/>
  <c r="R4" i="2"/>
  <c r="S6" i="2"/>
  <c r="R6" i="2"/>
  <c r="R22" i="2" s="1"/>
  <c r="Q6" i="2"/>
  <c r="Q22" i="2" s="1"/>
  <c r="P6" i="2"/>
  <c r="P22" i="2" s="1"/>
  <c r="O6" i="2"/>
  <c r="O22" i="2" s="1"/>
  <c r="T6" i="2"/>
  <c r="T22" i="2" s="1"/>
  <c r="R25" i="2"/>
  <c r="R15" i="2"/>
  <c r="R12" i="2"/>
  <c r="R11" i="2"/>
  <c r="R10" i="2"/>
  <c r="R9" i="2"/>
  <c r="R7" i="2"/>
  <c r="R45" i="2"/>
  <c r="R46" i="2" s="1"/>
  <c r="R34" i="2"/>
  <c r="R13" i="2"/>
  <c r="R8" i="2"/>
  <c r="O25" i="2"/>
  <c r="O45" i="2"/>
  <c r="O46" i="2" s="1"/>
  <c r="O34" i="2"/>
  <c r="P25" i="2"/>
  <c r="P45" i="2"/>
  <c r="P46" i="2" s="1"/>
  <c r="P34" i="2"/>
  <c r="Q25" i="2"/>
  <c r="Q45" i="2"/>
  <c r="Q46" i="2" s="1"/>
  <c r="Q34" i="2"/>
  <c r="Q13" i="2"/>
  <c r="Q8" i="2"/>
  <c r="O13" i="2"/>
  <c r="O8" i="2"/>
  <c r="S25" i="2"/>
  <c r="P13" i="2"/>
  <c r="P8" i="2"/>
  <c r="S45" i="2"/>
  <c r="S46" i="2" s="1"/>
  <c r="S34" i="2"/>
  <c r="S13" i="2"/>
  <c r="S8" i="2"/>
  <c r="T45" i="2"/>
  <c r="T25" i="2"/>
  <c r="T34" i="2" s="1"/>
  <c r="T13" i="2"/>
  <c r="T8" i="2"/>
  <c r="F4" i="1"/>
  <c r="J23" i="2" l="1"/>
  <c r="J14" i="2"/>
  <c r="J16" i="2" s="1"/>
  <c r="J18" i="2" s="1"/>
  <c r="J19" i="2" s="1"/>
  <c r="G23" i="2"/>
  <c r="G14" i="2"/>
  <c r="G16" i="2" s="1"/>
  <c r="G18" i="2" s="1"/>
  <c r="G19" i="2" s="1"/>
  <c r="H23" i="2"/>
  <c r="H14" i="2"/>
  <c r="H16" i="2" s="1"/>
  <c r="H18" i="2" s="1"/>
  <c r="H19" i="2" s="1"/>
  <c r="I23" i="2"/>
  <c r="I14" i="2"/>
  <c r="I16" i="2" s="1"/>
  <c r="I18" i="2" s="1"/>
  <c r="I19" i="2" s="1"/>
  <c r="C23" i="2"/>
  <c r="C14" i="2"/>
  <c r="C16" i="2" s="1"/>
  <c r="C18" i="2" s="1"/>
  <c r="C19" i="2" s="1"/>
  <c r="E23" i="2"/>
  <c r="E14" i="2"/>
  <c r="E16" i="2" s="1"/>
  <c r="E18" i="2" s="1"/>
  <c r="E19" i="2" s="1"/>
  <c r="T46" i="2"/>
  <c r="T53" i="2"/>
  <c r="T54" i="2" s="1"/>
  <c r="S22" i="2"/>
  <c r="N23" i="2"/>
  <c r="N14" i="2"/>
  <c r="N16" i="2" s="1"/>
  <c r="N18" i="2" s="1"/>
  <c r="N19" i="2" s="1"/>
  <c r="K23" i="2"/>
  <c r="K14" i="2"/>
  <c r="K16" i="2" s="1"/>
  <c r="K18" i="2" s="1"/>
  <c r="K19" i="2" s="1"/>
  <c r="L23" i="2"/>
  <c r="L14" i="2"/>
  <c r="L16" i="2" s="1"/>
  <c r="L18" i="2" s="1"/>
  <c r="L19" i="2" s="1"/>
  <c r="M23" i="2"/>
  <c r="M14" i="2"/>
  <c r="M16" i="2" s="1"/>
  <c r="M18" i="2" s="1"/>
  <c r="M19" i="2" s="1"/>
  <c r="P14" i="2"/>
  <c r="P16" i="2" s="1"/>
  <c r="P18" i="2" s="1"/>
  <c r="P19" i="2" s="1"/>
  <c r="P23" i="2"/>
  <c r="O14" i="2"/>
  <c r="O16" i="2" s="1"/>
  <c r="O18" i="2" s="1"/>
  <c r="O19" i="2" s="1"/>
  <c r="O23" i="2"/>
  <c r="R23" i="2"/>
  <c r="R14" i="2"/>
  <c r="R16" i="2" s="1"/>
  <c r="R18" i="2" s="1"/>
  <c r="R19" i="2" s="1"/>
  <c r="Q23" i="2"/>
  <c r="Q14" i="2"/>
  <c r="Q16" i="2" s="1"/>
  <c r="Q18" i="2" s="1"/>
  <c r="Q19" i="2" s="1"/>
  <c r="S23" i="2"/>
  <c r="S14" i="2"/>
  <c r="S16" i="2" s="1"/>
  <c r="S18" i="2" s="1"/>
  <c r="S19" i="2" s="1"/>
  <c r="T23" i="2"/>
  <c r="T14" i="2"/>
  <c r="T16" i="2" s="1"/>
  <c r="T18" i="2" s="1"/>
  <c r="T19" i="2" s="1"/>
</calcChain>
</file>

<file path=xl/sharedStrings.xml><?xml version="1.0" encoding="utf-8"?>
<sst xmlns="http://schemas.openxmlformats.org/spreadsheetml/2006/main" count="99" uniqueCount="98">
  <si>
    <t>ionq</t>
  </si>
  <si>
    <t>price</t>
  </si>
  <si>
    <t>shares</t>
  </si>
  <si>
    <t>Q225</t>
  </si>
  <si>
    <t>mc</t>
  </si>
  <si>
    <t>cash</t>
  </si>
  <si>
    <t>debt</t>
  </si>
  <si>
    <t>ev</t>
  </si>
  <si>
    <t>quantum computing</t>
  </si>
  <si>
    <t>Main</t>
  </si>
  <si>
    <t>Q121</t>
  </si>
  <si>
    <t>Q221</t>
  </si>
  <si>
    <t>Q321</t>
  </si>
  <si>
    <t>Q421</t>
  </si>
  <si>
    <t>Q122</t>
  </si>
  <si>
    <t>Q222</t>
  </si>
  <si>
    <t>Q322</t>
  </si>
  <si>
    <t>Q422</t>
  </si>
  <si>
    <t>Q123</t>
  </si>
  <si>
    <t>Q223</t>
  </si>
  <si>
    <t>Q323</t>
  </si>
  <si>
    <t>Q423</t>
  </si>
  <si>
    <t>Q124</t>
  </si>
  <si>
    <t>Q224</t>
  </si>
  <si>
    <t>Q324</t>
  </si>
  <si>
    <t>Q424</t>
  </si>
  <si>
    <t>Q125</t>
  </si>
  <si>
    <t>quantum computing and networking hardware</t>
  </si>
  <si>
    <t>platform, consulting, and support services</t>
  </si>
  <si>
    <t>Revenue</t>
  </si>
  <si>
    <t>COGS</t>
  </si>
  <si>
    <t>Gross Profit</t>
  </si>
  <si>
    <t>r&amp;d</t>
  </si>
  <si>
    <t>s&amp;m</t>
  </si>
  <si>
    <t>g&amp;a</t>
  </si>
  <si>
    <t>d&amp;a</t>
  </si>
  <si>
    <t>Operating Expenses</t>
  </si>
  <si>
    <t>Operating Income</t>
  </si>
  <si>
    <t>Interest Income</t>
  </si>
  <si>
    <t>Pretax Income</t>
  </si>
  <si>
    <t>Taxes</t>
  </si>
  <si>
    <t>Net Income</t>
  </si>
  <si>
    <t>EPS</t>
  </si>
  <si>
    <t>Shares</t>
  </si>
  <si>
    <t>Revenue y/y</t>
  </si>
  <si>
    <t>Gross Margin</t>
  </si>
  <si>
    <t>cash &amp; equiliviants</t>
  </si>
  <si>
    <t>AR</t>
  </si>
  <si>
    <t>prepaid expenses</t>
  </si>
  <si>
    <t>Long term investments</t>
  </si>
  <si>
    <t>pp&amp;e</t>
  </si>
  <si>
    <t>rou</t>
  </si>
  <si>
    <t>intagible assets</t>
  </si>
  <si>
    <t>goodwill</t>
  </si>
  <si>
    <t>onca</t>
  </si>
  <si>
    <t>assets</t>
  </si>
  <si>
    <t>accounts payable</t>
  </si>
  <si>
    <t>accrued expenses</t>
  </si>
  <si>
    <t>current operating lease</t>
  </si>
  <si>
    <t>unearned revenue</t>
  </si>
  <si>
    <t>current portion of stock option early exercise</t>
  </si>
  <si>
    <t>nc operating lease</t>
  </si>
  <si>
    <t>nc unearned revenue</t>
  </si>
  <si>
    <t>warrent liabilities</t>
  </si>
  <si>
    <t>oncl</t>
  </si>
  <si>
    <t>se</t>
  </si>
  <si>
    <t>L + SE</t>
  </si>
  <si>
    <t>CFFO</t>
  </si>
  <si>
    <t>CapEx</t>
  </si>
  <si>
    <t>FCF</t>
  </si>
  <si>
    <t>EBITDA</t>
  </si>
  <si>
    <t>book value per share</t>
  </si>
  <si>
    <t>p/b</t>
  </si>
  <si>
    <t>Terminology</t>
  </si>
  <si>
    <r>
      <rPr>
        <b/>
        <sz val="11"/>
        <color rgb="FF000000"/>
        <rFont val="Aptos Narrow"/>
        <scheme val="minor"/>
      </rPr>
      <t xml:space="preserve">Algorithmic Qubit: </t>
    </r>
    <r>
      <rPr>
        <sz val="11"/>
        <color rgb="FF000000"/>
        <rFont val="Aptos Narrow"/>
        <scheme val="minor"/>
      </rPr>
      <t>A metric describing the number of 'useful' qubits in a system, considering noise, connectivitiy limitiations, and other sources of error</t>
    </r>
  </si>
  <si>
    <r>
      <rPr>
        <b/>
        <sz val="11"/>
        <color rgb="FF000000"/>
        <rFont val="Aptos Narrow"/>
        <scheme val="minor"/>
      </rPr>
      <t xml:space="preserve">Barium: </t>
    </r>
    <r>
      <rPr>
        <sz val="11"/>
        <color rgb="FF000000"/>
        <rFont val="Aptos Narrow"/>
        <scheme val="minor"/>
      </rPr>
      <t>A silvery rare-earth metal, atomic number 56, that can be used as a qubit for quantim computing. IonQ is exploring barium as an altenrative qubit species bc its slightly more complex strucutre offers higher fundamental gate and readout fidelitites when controlled correctly, and bc its primarily interacts with light in the vible spectrum, allowing additonal oppurnutines for standard fiber optic techinologies in parts of the system</t>
    </r>
  </si>
  <si>
    <r>
      <rPr>
        <b/>
        <sz val="11"/>
        <color rgb="FF000000"/>
        <rFont val="Aptos Narrow"/>
        <scheme val="minor"/>
      </rPr>
      <t xml:space="preserve">Classical computer: </t>
    </r>
    <r>
      <rPr>
        <sz val="11"/>
        <color rgb="FF000000"/>
        <rFont val="Aptos Narrow"/>
        <scheme val="minor"/>
      </rPr>
      <t>a computer that stores and calculates information using classical mechancis. infomration is stored as 0 1 in a transitor</t>
    </r>
  </si>
  <si>
    <r>
      <rPr>
        <b/>
        <sz val="11"/>
        <color rgb="FF000000"/>
        <rFont val="Aptos Narrow"/>
        <scheme val="minor"/>
      </rPr>
      <t xml:space="preserve">Coherene Time:  </t>
    </r>
    <r>
      <rPr>
        <sz val="11"/>
        <color rgb="FF000000"/>
        <rFont val="Aptos Narrow"/>
        <scheme val="minor"/>
      </rPr>
      <t>a measurement of the "lifetime" of a qubit, coherence time emasures how long a qubit can mainrain coherent phase, which allows it to successfully retain quantim info and behave in the ways necessary for it to be part of a userful computation</t>
    </r>
  </si>
  <si>
    <r>
      <rPr>
        <b/>
        <sz val="11"/>
        <color rgb="FF000000"/>
        <rFont val="Aptos Narrow"/>
        <scheme val="minor"/>
      </rPr>
      <t>Entanglement:</t>
    </r>
    <r>
      <rPr>
        <sz val="11"/>
        <color rgb="FF000000"/>
        <rFont val="Aptos Narrow"/>
        <scheme val="minor"/>
      </rPr>
      <t xml:space="preserve"> a property of quantum mechanics where two particles, even when phsically serpated, behave in ways conditionally dependant on each other</t>
    </r>
  </si>
  <si>
    <r>
      <rPr>
        <b/>
        <sz val="11"/>
        <color rgb="FF000000"/>
        <rFont val="Aptos Narrow"/>
        <scheme val="minor"/>
      </rPr>
      <t>Error-corrected qubit:</t>
    </r>
    <r>
      <rPr>
        <sz val="11"/>
        <color rgb="FF000000"/>
        <rFont val="Aptos Narrow"/>
        <scheme val="minor"/>
      </rPr>
      <t xml:space="preserve"> groups of phsycial qubits that are lofically combined using rechinques called error correction encoding with the goal of having hem act together as one much higher quality quibit for compuational purposes</t>
    </r>
  </si>
  <si>
    <r>
      <rPr>
        <b/>
        <sz val="11"/>
        <color rgb="FF000000"/>
        <rFont val="Aptos Narrow"/>
        <scheme val="minor"/>
      </rPr>
      <t xml:space="preserve">Fault tolerance: </t>
    </r>
    <r>
      <rPr>
        <sz val="11"/>
        <color rgb="FF000000"/>
        <rFont val="Aptos Narrow"/>
        <scheme val="minor"/>
      </rPr>
      <t>a systems ability to accommodate errors in its operation without losing the information it is processing and or storing</t>
    </r>
  </si>
  <si>
    <r>
      <rPr>
        <b/>
        <sz val="11"/>
        <color rgb="FF000000"/>
        <rFont val="Aptos Narrow"/>
        <scheme val="minor"/>
      </rPr>
      <t xml:space="preserve">Gate fidelity/error rate: </t>
    </r>
    <r>
      <rPr>
        <sz val="11"/>
        <color rgb="FF000000"/>
        <rFont val="Aptos Narrow"/>
        <scheme val="minor"/>
      </rPr>
      <t>a measure of how much noise or error is introduced in each operation during a quantum algo</t>
    </r>
  </si>
  <si>
    <r>
      <t>Ion Trap:</t>
    </r>
    <r>
      <rPr>
        <sz val="10"/>
        <color rgb="FF000000"/>
        <rFont val="Times New Roman"/>
        <charset val="1"/>
      </rPr>
      <t xml:space="preserve"> An apparatus that holds ions in place, ready for computation, in a trapped-ion quantum computer.</t>
    </r>
  </si>
  <si>
    <r>
      <t>Measurement:</t>
    </r>
    <r>
      <rPr>
        <sz val="10"/>
        <color rgb="FF000000"/>
        <rFont val="Times New Roman"/>
        <charset val="1"/>
      </rPr>
      <t xml:space="preserve"> The process at the end of a quantum computation where the exponentially large computational space available during computation collapses down to a binary string in order to produce readable results.</t>
    </r>
  </si>
  <si>
    <r>
      <t>Multi-Core QPU:</t>
    </r>
    <r>
      <rPr>
        <sz val="10"/>
        <color rgb="FF000000"/>
        <rFont val="Times New Roman"/>
        <charset val="1"/>
      </rPr>
      <t xml:space="preserve"> A single quantum processor that has multiple quantum compute zones that can compute in parallel and be entangled via moving and recombining ion chains.</t>
    </r>
  </si>
  <si>
    <r>
      <t>Noise:</t>
    </r>
    <r>
      <rPr>
        <sz val="10"/>
        <color rgb="FF000000"/>
        <rFont val="Times New Roman"/>
        <charset val="1"/>
      </rPr>
      <t xml:space="preserve"> For quantum computers to compute correctly, they must be isolated from the environment around them. Any interaction with the environment, or imperfection in the control systems that perform gates, introduces noise. As noise accumulates, the overall likelihood that an algorithm will produce a successful answer goes down. With too much noise, a quantum computer is no longer useful at all</t>
    </r>
  </si>
  <si>
    <r>
      <t>Photonic Interconnect:</t>
    </r>
    <r>
      <rPr>
        <sz val="10"/>
        <color rgb="FF000000"/>
        <rFont val="Times New Roman"/>
        <charset val="1"/>
      </rPr>
      <t xml:space="preserve"> A connection between two qubits using photons, typically via a fiber optic cable. A photonic interconnect is used to remotely connect two qubits</t>
    </r>
  </si>
  <si>
    <r>
      <t>Physical Qubit:</t>
    </r>
    <r>
      <rPr>
        <sz val="10"/>
        <color rgb="FF000000"/>
        <rFont val="Times New Roman"/>
        <charset val="1"/>
      </rPr>
      <t xml:space="preserve"> The hardware implementation of a qubit in a quantum computer.</t>
    </r>
  </si>
  <si>
    <r>
      <t>Quantum Algorithm:</t>
    </r>
    <r>
      <rPr>
        <sz val="10"/>
        <color rgb="FF000000"/>
        <rFont val="Times New Roman"/>
        <charset val="1"/>
      </rPr>
      <t xml:space="preserve"> A series of quantum logic gates that together solve a specific problem.</t>
    </r>
  </si>
  <si>
    <r>
      <t xml:space="preserve">Quantum Bit (Qubit): </t>
    </r>
    <r>
      <rPr>
        <sz val="10"/>
        <color rgb="FF000000"/>
        <rFont val="Times New Roman"/>
        <charset val="1"/>
      </rPr>
      <t>The quantum equivalent of bits in classical computing, able to exist in a superposition of states and be entangled with other qubits.</t>
    </r>
  </si>
  <si>
    <r>
      <t>Quantum Circuit:</t>
    </r>
    <r>
      <rPr>
        <sz val="10"/>
        <color rgb="FF000000"/>
        <rFont val="Times New Roman"/>
        <charset val="1"/>
      </rPr>
      <t xml:space="preserve"> A collection of quantum logic gates to be run in a specific order on a given set of qubits.</t>
    </r>
  </si>
  <si>
    <r>
      <t xml:space="preserve">Quantum Logic Gate(s): </t>
    </r>
    <r>
      <rPr>
        <sz val="10"/>
        <color rgb="FF000000"/>
        <rFont val="Times New Roman"/>
        <charset val="1"/>
      </rPr>
      <t>Gates used to manipulate the state of qubits, including putting them in superposition states and creating entanglement.</t>
    </r>
  </si>
  <si>
    <r>
      <t xml:space="preserve">Quantum Networking: </t>
    </r>
    <r>
      <rPr>
        <sz val="10"/>
        <color rgb="FF000000"/>
        <rFont val="Times New Roman"/>
        <charset val="1"/>
      </rPr>
      <t>Interconnecting multiple quantum processing units to enable communication or computation using photonic interconnects or entanglement to facilitate the distribution of information or computation.</t>
    </r>
  </si>
  <si>
    <r>
      <t xml:space="preserve">Quantum Processing Unit (QPU): </t>
    </r>
    <r>
      <rPr>
        <sz val="10"/>
        <color rgb="FF000000"/>
        <rFont val="Times New Roman"/>
        <charset val="1"/>
      </rPr>
      <t>A complete system made up of physical qubits and the apparatus for controlling them.</t>
    </r>
  </si>
  <si>
    <r>
      <t xml:space="preserve">Superconducting Qubit: </t>
    </r>
    <r>
      <rPr>
        <sz val="10"/>
        <color rgb="FF000000"/>
        <rFont val="Times New Roman"/>
        <charset val="1"/>
      </rPr>
      <t>A qubit implementation that uses specialized silicon-fabricated chips at ultracold temperatures.</t>
    </r>
  </si>
  <si>
    <r>
      <t xml:space="preserve">Synthetic (Fabricated) Qubit: </t>
    </r>
    <r>
      <rPr>
        <sz val="10"/>
        <color rgb="FF000000"/>
        <rFont val="Times New Roman"/>
        <charset val="1"/>
      </rPr>
      <t>A qubit that uses an engineered or “manufactured” quantum system, rather than a naturally occurring one. Examples of synthetic (fabricated) qubits include superconducting transmon qubits and semiconductor quantum dot qubits.</t>
    </r>
  </si>
  <si>
    <r>
      <t xml:space="preserve">Trapped Ion Qubit: </t>
    </r>
    <r>
      <rPr>
        <sz val="10"/>
        <color rgb="FF000000"/>
        <rFont val="Times New Roman"/>
        <charset val="1"/>
      </rPr>
      <t>A qubit implementation using charged atomic particles (ions) suspended in vacuum and manipulated with lasers.</t>
    </r>
  </si>
  <si>
    <t>Operating Costs and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</si>
</sst>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
      <sz val="10"/>
      <color rgb="FF000000"/>
      <name val="Times New Roman"/>
      <charset val="1"/>
    </font>
    <font>
      <b/>
      <sz val="10"/>
      <color rgb="FF000000"/>
      <name val="Times New Roman"/>
      <charset val="1"/>
    </font>
    <font>
      <b/>
      <i/>
      <sz val="10"/>
      <color rgb="FF000000"/>
      <name val="Times New Roman"/>
      <charset val="1"/>
    </font>
    <font>
      <sz val="11"/>
      <color rgb="FF000000"/>
      <name val="Aptos Narrow"/>
      <charset val="1"/>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right"/>
    </xf>
    <xf numFmtId="3" fontId="0" fillId="0" borderId="0" xfId="0" applyNumberFormat="1"/>
    <xf numFmtId="0" fontId="1" fillId="0" borderId="0" xfId="0" applyFont="1"/>
    <xf numFmtId="164" fontId="1" fillId="0" borderId="0" xfId="0" applyNumberFormat="1" applyFont="1"/>
    <xf numFmtId="9" fontId="0" fillId="0" borderId="0" xfId="0" applyNumberFormat="1" applyAlignment="1">
      <alignment horizontal="right"/>
    </xf>
    <xf numFmtId="3" fontId="1" fillId="0" borderId="0" xfId="0" applyNumberFormat="1" applyFont="1"/>
    <xf numFmtId="9" fontId="1" fillId="0" borderId="0" xfId="0" applyNumberFormat="1" applyFont="1"/>
    <xf numFmtId="0" fontId="2" fillId="0" borderId="0" xfId="0" applyFont="1"/>
    <xf numFmtId="0" fontId="3" fillId="0" borderId="0" xfId="0" applyFont="1"/>
    <xf numFmtId="0" fontId="5" fillId="0" borderId="0" xfId="0" applyFont="1" applyAlignment="1">
      <alignment wrapText="1"/>
    </xf>
    <xf numFmtId="0" fontId="5" fillId="0" borderId="0" xfId="0" applyFont="1"/>
    <xf numFmtId="0" fontId="6" fillId="2" borderId="0" xfId="0" applyFont="1" applyFill="1" applyAlignment="1">
      <alignment wrapText="1"/>
    </xf>
    <xf numFmtId="0" fontId="7"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G10"/>
  <sheetViews>
    <sheetView tabSelected="1" workbookViewId="0">
      <selection activeCell="E12" sqref="E12"/>
    </sheetView>
  </sheetViews>
  <sheetFormatPr defaultRowHeight="15"/>
  <cols>
    <col min="6" max="6" width="9.28515625" bestFit="1" customWidth="1"/>
  </cols>
  <sheetData>
    <row r="2" spans="3:7">
      <c r="C2" t="s">
        <v>0</v>
      </c>
      <c r="E2" t="s">
        <v>1</v>
      </c>
      <c r="F2" s="2">
        <v>60</v>
      </c>
    </row>
    <row r="3" spans="3:7">
      <c r="E3" t="s">
        <v>2</v>
      </c>
      <c r="F3" s="2">
        <v>297</v>
      </c>
      <c r="G3" t="s">
        <v>3</v>
      </c>
    </row>
    <row r="4" spans="3:7">
      <c r="E4" t="s">
        <v>4</v>
      </c>
      <c r="F4" s="2">
        <f>+F2*F3</f>
        <v>17820</v>
      </c>
    </row>
    <row r="5" spans="3:7">
      <c r="E5" t="s">
        <v>5</v>
      </c>
      <c r="F5" s="2">
        <f>140+407</f>
        <v>547</v>
      </c>
    </row>
    <row r="6" spans="3:7">
      <c r="E6" t="s">
        <v>6</v>
      </c>
      <c r="F6" s="2">
        <v>0</v>
      </c>
    </row>
    <row r="7" spans="3:7">
      <c r="E7" t="s">
        <v>7</v>
      </c>
      <c r="F7" s="2">
        <f>+F4+F6-F5</f>
        <v>17273</v>
      </c>
    </row>
    <row r="10" spans="3:7">
      <c r="C10"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3E7F0-9883-40EA-9EE7-D8FCB7604F33}">
  <dimension ref="A1:T54"/>
  <sheetViews>
    <sheetView workbookViewId="0">
      <pane xSplit="2" ySplit="2" topLeftCell="C29" activePane="bottomRight" state="frozen"/>
      <selection pane="bottomRight" activeCell="K2" sqref="K2"/>
      <selection pane="bottomLeft"/>
      <selection pane="topRight"/>
    </sheetView>
  </sheetViews>
  <sheetFormatPr defaultRowHeight="15"/>
  <cols>
    <col min="2" max="2" width="20.85546875" bestFit="1" customWidth="1"/>
    <col min="3" max="6" width="5.85546875" bestFit="1" customWidth="1"/>
    <col min="7" max="10" width="5.85546875" customWidth="1"/>
    <col min="11" max="11" width="6.7109375" bestFit="1" customWidth="1"/>
  </cols>
  <sheetData>
    <row r="1" spans="1:20">
      <c r="A1" t="s">
        <v>9</v>
      </c>
    </row>
    <row r="2" spans="1:20">
      <c r="C2" t="s">
        <v>10</v>
      </c>
      <c r="D2" t="s">
        <v>11</v>
      </c>
      <c r="E2" t="s">
        <v>12</v>
      </c>
      <c r="F2" t="s">
        <v>13</v>
      </c>
      <c r="G2" t="s">
        <v>14</v>
      </c>
      <c r="H2" t="s">
        <v>15</v>
      </c>
      <c r="I2" t="s">
        <v>16</v>
      </c>
      <c r="J2" s="13" t="s">
        <v>17</v>
      </c>
      <c r="K2" s="1" t="s">
        <v>18</v>
      </c>
      <c r="L2" s="1" t="s">
        <v>19</v>
      </c>
      <c r="M2" s="1" t="s">
        <v>20</v>
      </c>
      <c r="N2" s="1" t="s">
        <v>21</v>
      </c>
      <c r="O2" s="1" t="s">
        <v>22</v>
      </c>
      <c r="P2" s="1" t="s">
        <v>23</v>
      </c>
      <c r="Q2" s="1" t="s">
        <v>24</v>
      </c>
      <c r="R2" s="1" t="s">
        <v>25</v>
      </c>
      <c r="S2" s="1" t="s">
        <v>26</v>
      </c>
      <c r="T2" s="1" t="s">
        <v>3</v>
      </c>
    </row>
    <row r="4" spans="1:20">
      <c r="B4" t="s">
        <v>27</v>
      </c>
      <c r="C4">
        <v>0</v>
      </c>
      <c r="D4">
        <v>0</v>
      </c>
      <c r="E4">
        <v>0</v>
      </c>
      <c r="G4">
        <v>0</v>
      </c>
      <c r="H4">
        <v>0</v>
      </c>
      <c r="I4">
        <v>0</v>
      </c>
      <c r="J4">
        <v>0</v>
      </c>
      <c r="K4">
        <v>0</v>
      </c>
      <c r="L4">
        <v>0</v>
      </c>
      <c r="M4">
        <v>0</v>
      </c>
      <c r="N4">
        <v>0</v>
      </c>
      <c r="O4">
        <v>4</v>
      </c>
      <c r="P4">
        <v>7</v>
      </c>
      <c r="Q4">
        <v>6</v>
      </c>
      <c r="R4">
        <f>22-O4-P4-Q4</f>
        <v>5</v>
      </c>
      <c r="S4">
        <v>3</v>
      </c>
      <c r="T4">
        <v>14</v>
      </c>
    </row>
    <row r="5" spans="1:20">
      <c r="B5" t="s">
        <v>28</v>
      </c>
      <c r="C5">
        <v>0</v>
      </c>
      <c r="D5">
        <v>0</v>
      </c>
      <c r="E5">
        <v>0</v>
      </c>
      <c r="G5">
        <v>0</v>
      </c>
      <c r="H5">
        <v>0</v>
      </c>
      <c r="I5">
        <v>0</v>
      </c>
      <c r="J5">
        <v>0</v>
      </c>
      <c r="K5">
        <v>0</v>
      </c>
      <c r="L5">
        <v>0</v>
      </c>
      <c r="M5">
        <v>0</v>
      </c>
      <c r="N5">
        <v>0</v>
      </c>
      <c r="O5">
        <v>4</v>
      </c>
      <c r="P5">
        <v>4</v>
      </c>
      <c r="Q5">
        <v>6</v>
      </c>
      <c r="R5">
        <f>21-O5-P5-Q5</f>
        <v>7</v>
      </c>
      <c r="S5">
        <v>5</v>
      </c>
      <c r="T5">
        <v>7</v>
      </c>
    </row>
    <row r="6" spans="1:20" s="3" customFormat="1">
      <c r="B6" s="3" t="s">
        <v>29</v>
      </c>
      <c r="C6" s="6">
        <v>2</v>
      </c>
      <c r="D6" s="6">
        <v>3</v>
      </c>
      <c r="E6" s="6">
        <v>3</v>
      </c>
      <c r="F6" s="6"/>
      <c r="G6" s="6">
        <v>4</v>
      </c>
      <c r="H6" s="6">
        <v>6</v>
      </c>
      <c r="I6" s="6">
        <v>6</v>
      </c>
      <c r="J6" s="6">
        <f>22-G6-H6-I6</f>
        <v>6</v>
      </c>
      <c r="K6" s="6">
        <v>4</v>
      </c>
      <c r="L6" s="6">
        <v>6</v>
      </c>
      <c r="M6" s="6">
        <v>6</v>
      </c>
      <c r="N6" s="6">
        <f>22-K6-L6-M6</f>
        <v>6</v>
      </c>
      <c r="O6" s="6">
        <f t="shared" ref="O6:S6" si="0">SUM(O4:O5)</f>
        <v>8</v>
      </c>
      <c r="P6" s="6">
        <f t="shared" si="0"/>
        <v>11</v>
      </c>
      <c r="Q6" s="6">
        <f t="shared" si="0"/>
        <v>12</v>
      </c>
      <c r="R6" s="6">
        <f t="shared" si="0"/>
        <v>12</v>
      </c>
      <c r="S6" s="6">
        <f t="shared" si="0"/>
        <v>8</v>
      </c>
      <c r="T6" s="6">
        <f>SUM(T4:T5)</f>
        <v>21</v>
      </c>
    </row>
    <row r="7" spans="1:20">
      <c r="B7" t="s">
        <v>30</v>
      </c>
      <c r="C7" s="2">
        <v>1</v>
      </c>
      <c r="D7" s="2">
        <v>1</v>
      </c>
      <c r="E7" s="2">
        <v>1</v>
      </c>
      <c r="F7" s="2"/>
      <c r="G7" s="2">
        <v>1</v>
      </c>
      <c r="H7" s="2">
        <v>2</v>
      </c>
      <c r="I7" s="2">
        <v>2</v>
      </c>
      <c r="J7" s="2">
        <f>8-G7-H7-I7</f>
        <v>3</v>
      </c>
      <c r="K7" s="2">
        <v>1</v>
      </c>
      <c r="L7" s="2">
        <v>2</v>
      </c>
      <c r="M7" s="2">
        <v>2</v>
      </c>
      <c r="N7" s="2">
        <f>8-K7-L7-M7</f>
        <v>3</v>
      </c>
      <c r="O7" s="2">
        <v>3</v>
      </c>
      <c r="P7" s="2">
        <v>6</v>
      </c>
      <c r="Q7" s="2">
        <v>7</v>
      </c>
      <c r="R7" s="2">
        <f>21-O7-P7-Q7</f>
        <v>5</v>
      </c>
      <c r="S7" s="2">
        <v>4</v>
      </c>
      <c r="T7" s="2">
        <v>8</v>
      </c>
    </row>
    <row r="8" spans="1:20" s="3" customFormat="1">
      <c r="B8" s="3" t="s">
        <v>31</v>
      </c>
      <c r="C8" s="6">
        <f>+C6-C7</f>
        <v>1</v>
      </c>
      <c r="D8" s="6">
        <f>+D6-D7</f>
        <v>2</v>
      </c>
      <c r="E8" s="6">
        <f>+E6-E7</f>
        <v>2</v>
      </c>
      <c r="F8" s="6"/>
      <c r="G8" s="6">
        <f>+G6-G7</f>
        <v>3</v>
      </c>
      <c r="H8" s="6">
        <f>+H6-H7</f>
        <v>4</v>
      </c>
      <c r="I8" s="6">
        <f>+I6-I7</f>
        <v>4</v>
      </c>
      <c r="J8" s="6">
        <f>+J6-J7</f>
        <v>3</v>
      </c>
      <c r="K8" s="6">
        <f>+K6-K7</f>
        <v>3</v>
      </c>
      <c r="L8" s="6">
        <f>+L6-L7</f>
        <v>4</v>
      </c>
      <c r="M8" s="6">
        <f>+M6-M7</f>
        <v>4</v>
      </c>
      <c r="N8" s="6">
        <f>+N6-N7</f>
        <v>3</v>
      </c>
      <c r="O8" s="6">
        <f>+O6-O7</f>
        <v>5</v>
      </c>
      <c r="P8" s="6">
        <f>+P6-P7</f>
        <v>5</v>
      </c>
      <c r="Q8" s="6">
        <f>+Q6-Q7</f>
        <v>5</v>
      </c>
      <c r="R8" s="6">
        <f>+R6-R7</f>
        <v>7</v>
      </c>
      <c r="S8" s="6">
        <f>+S6-S7</f>
        <v>4</v>
      </c>
      <c r="T8" s="6">
        <f>+T6-T7</f>
        <v>13</v>
      </c>
    </row>
    <row r="9" spans="1:20">
      <c r="B9" t="s">
        <v>32</v>
      </c>
      <c r="C9" s="2">
        <v>7</v>
      </c>
      <c r="D9" s="2">
        <v>10</v>
      </c>
      <c r="E9" s="2">
        <v>13</v>
      </c>
      <c r="F9" s="2"/>
      <c r="G9" s="2">
        <v>16</v>
      </c>
      <c r="H9" s="2">
        <v>20</v>
      </c>
      <c r="I9" s="2">
        <v>25</v>
      </c>
      <c r="J9" s="2">
        <f>92-H9-G9-I9</f>
        <v>31</v>
      </c>
      <c r="K9" s="2">
        <v>16</v>
      </c>
      <c r="L9" s="2">
        <v>20</v>
      </c>
      <c r="M9" s="2">
        <v>25</v>
      </c>
      <c r="N9" s="2">
        <f>92-K9-L9-M9</f>
        <v>31</v>
      </c>
      <c r="O9" s="2">
        <v>32</v>
      </c>
      <c r="P9" s="2">
        <v>31</v>
      </c>
      <c r="Q9" s="2">
        <v>33</v>
      </c>
      <c r="R9" s="2">
        <f>137-O9-P9-Q9</f>
        <v>41</v>
      </c>
      <c r="S9" s="2">
        <v>40</v>
      </c>
      <c r="T9" s="2">
        <v>103</v>
      </c>
    </row>
    <row r="10" spans="1:20">
      <c r="B10" t="s">
        <v>33</v>
      </c>
      <c r="C10" s="2">
        <v>2</v>
      </c>
      <c r="D10" s="2">
        <v>2</v>
      </c>
      <c r="E10" s="2">
        <v>2</v>
      </c>
      <c r="F10" s="2"/>
      <c r="G10" s="2">
        <v>3</v>
      </c>
      <c r="H10" s="2">
        <v>4</v>
      </c>
      <c r="I10" s="2">
        <v>5</v>
      </c>
      <c r="J10" s="2">
        <f>18-G10-H10-I10</f>
        <v>6</v>
      </c>
      <c r="K10" s="2">
        <v>3</v>
      </c>
      <c r="L10" s="2">
        <v>4</v>
      </c>
      <c r="M10" s="2">
        <v>5</v>
      </c>
      <c r="N10" s="2">
        <f>18-K10-L10-M10</f>
        <v>6</v>
      </c>
      <c r="O10" s="2">
        <v>7</v>
      </c>
      <c r="P10" s="2">
        <v>6</v>
      </c>
      <c r="Q10" s="2">
        <v>7</v>
      </c>
      <c r="R10" s="2">
        <f>28-O10-P10-Q10</f>
        <v>8</v>
      </c>
      <c r="S10" s="2">
        <v>9</v>
      </c>
      <c r="T10" s="2">
        <v>11</v>
      </c>
    </row>
    <row r="11" spans="1:20">
      <c r="B11" t="s">
        <v>34</v>
      </c>
      <c r="C11" s="2">
        <v>9</v>
      </c>
      <c r="D11" s="2">
        <v>8</v>
      </c>
      <c r="E11" s="2">
        <v>10</v>
      </c>
      <c r="F11" s="2"/>
      <c r="G11" s="2">
        <v>11</v>
      </c>
      <c r="H11" s="2">
        <v>11</v>
      </c>
      <c r="I11" s="2">
        <v>14</v>
      </c>
      <c r="J11" s="2">
        <f>51-G11-H11-I11</f>
        <v>15</v>
      </c>
      <c r="K11" s="2">
        <v>11</v>
      </c>
      <c r="L11" s="2">
        <v>11</v>
      </c>
      <c r="M11" s="2">
        <v>14</v>
      </c>
      <c r="N11" s="2">
        <f>51-K11-L11-M11</f>
        <v>15</v>
      </c>
      <c r="O11" s="2">
        <v>14</v>
      </c>
      <c r="P11" s="2">
        <v>13</v>
      </c>
      <c r="Q11" s="2">
        <v>14</v>
      </c>
      <c r="R11" s="2">
        <f>71-O11-P11-Q11</f>
        <v>30</v>
      </c>
      <c r="S11" s="2">
        <v>24</v>
      </c>
      <c r="T11" s="2">
        <v>48</v>
      </c>
    </row>
    <row r="12" spans="1:20">
      <c r="B12" t="s">
        <v>35</v>
      </c>
      <c r="C12" s="2">
        <v>1</v>
      </c>
      <c r="D12" s="2">
        <v>1</v>
      </c>
      <c r="E12" s="2">
        <v>2</v>
      </c>
      <c r="F12" s="2"/>
      <c r="G12" s="2">
        <v>2</v>
      </c>
      <c r="H12" s="2">
        <v>2</v>
      </c>
      <c r="I12" s="2">
        <v>3</v>
      </c>
      <c r="J12" s="2">
        <f>10-G12-H12-I12</f>
        <v>3</v>
      </c>
      <c r="K12" s="2">
        <v>2</v>
      </c>
      <c r="L12" s="2">
        <v>2</v>
      </c>
      <c r="M12" s="2">
        <v>3</v>
      </c>
      <c r="N12" s="2">
        <f>10-K12-L12-M12</f>
        <v>3</v>
      </c>
      <c r="O12" s="2">
        <v>4</v>
      </c>
      <c r="P12" s="2">
        <v>4</v>
      </c>
      <c r="Q12" s="2">
        <v>5</v>
      </c>
      <c r="R12" s="2">
        <f>19-O12-P12-Q12</f>
        <v>6</v>
      </c>
      <c r="S12" s="2">
        <v>7</v>
      </c>
      <c r="T12" s="2">
        <v>11</v>
      </c>
    </row>
    <row r="13" spans="1:20" s="3" customFormat="1">
      <c r="B13" s="3" t="s">
        <v>36</v>
      </c>
      <c r="C13" s="6">
        <f>SUM(C9:C12)</f>
        <v>19</v>
      </c>
      <c r="D13" s="6">
        <f>SUM(D9:D12)</f>
        <v>21</v>
      </c>
      <c r="E13" s="6">
        <f>SUM(E9:E12)</f>
        <v>27</v>
      </c>
      <c r="F13" s="6"/>
      <c r="G13" s="6">
        <f>SUM(G9:G12)</f>
        <v>32</v>
      </c>
      <c r="H13" s="6">
        <f>SUM(H9:H12)</f>
        <v>37</v>
      </c>
      <c r="I13" s="6">
        <f>SUM(I9:I12)</f>
        <v>47</v>
      </c>
      <c r="J13" s="6">
        <f>SUM(J9:J12)</f>
        <v>55</v>
      </c>
      <c r="K13" s="6">
        <f>SUM(K9:K12)</f>
        <v>32</v>
      </c>
      <c r="L13" s="6">
        <f>SUM(L9:L12)</f>
        <v>37</v>
      </c>
      <c r="M13" s="6">
        <f>SUM(M9:M12)</f>
        <v>47</v>
      </c>
      <c r="N13" s="6">
        <f>SUM(N9:N12)</f>
        <v>55</v>
      </c>
      <c r="O13" s="6">
        <f>SUM(O9:O12)</f>
        <v>57</v>
      </c>
      <c r="P13" s="6">
        <f>SUM(P9:P12)</f>
        <v>54</v>
      </c>
      <c r="Q13" s="6">
        <f>SUM(Q9:Q12)</f>
        <v>59</v>
      </c>
      <c r="R13" s="6">
        <f>SUM(R9:R12)</f>
        <v>85</v>
      </c>
      <c r="S13" s="6">
        <f>SUM(S9:S12)</f>
        <v>80</v>
      </c>
      <c r="T13" s="6">
        <f>SUM(T9:T12)</f>
        <v>173</v>
      </c>
    </row>
    <row r="14" spans="1:20" s="3" customFormat="1">
      <c r="B14" s="3" t="s">
        <v>37</v>
      </c>
      <c r="C14" s="6">
        <f>+C8-C13</f>
        <v>-18</v>
      </c>
      <c r="D14" s="6">
        <f>+D8-D13</f>
        <v>-19</v>
      </c>
      <c r="E14" s="6">
        <f>+E8-E13</f>
        <v>-25</v>
      </c>
      <c r="F14" s="6"/>
      <c r="G14" s="6">
        <f>+G8-G13</f>
        <v>-29</v>
      </c>
      <c r="H14" s="6">
        <f>+H8-H13</f>
        <v>-33</v>
      </c>
      <c r="I14" s="6">
        <f>+I8-I13</f>
        <v>-43</v>
      </c>
      <c r="J14" s="6">
        <f>+J8-J13</f>
        <v>-52</v>
      </c>
      <c r="K14" s="6">
        <f>+K8-K13</f>
        <v>-29</v>
      </c>
      <c r="L14" s="6">
        <f>+L8-L13</f>
        <v>-33</v>
      </c>
      <c r="M14" s="6">
        <f>+M8-M13</f>
        <v>-43</v>
      </c>
      <c r="N14" s="6">
        <f>+N8-N13</f>
        <v>-52</v>
      </c>
      <c r="O14" s="6">
        <f>+O8-O13</f>
        <v>-52</v>
      </c>
      <c r="P14" s="6">
        <f>+P8-P13</f>
        <v>-49</v>
      </c>
      <c r="Q14" s="6">
        <f>+Q8-Q13</f>
        <v>-54</v>
      </c>
      <c r="R14" s="6">
        <f>+R8-R13</f>
        <v>-78</v>
      </c>
      <c r="S14" s="6">
        <f>+S8-S13</f>
        <v>-76</v>
      </c>
      <c r="T14" s="6">
        <f>+T8-T13</f>
        <v>-160</v>
      </c>
    </row>
    <row r="15" spans="1:20">
      <c r="B15" s="2" t="s">
        <v>38</v>
      </c>
      <c r="C15" s="2">
        <v>-1</v>
      </c>
      <c r="D15" s="2">
        <v>-1</v>
      </c>
      <c r="E15" s="2">
        <v>-2</v>
      </c>
      <c r="F15" s="2"/>
      <c r="G15" s="2">
        <v>-4</v>
      </c>
      <c r="H15" s="2">
        <v>-5</v>
      </c>
      <c r="I15" s="2">
        <v>-5</v>
      </c>
      <c r="J15" s="2">
        <f>-19-G15-H15-I15</f>
        <v>-5</v>
      </c>
      <c r="K15" s="2">
        <v>-4</v>
      </c>
      <c r="L15" s="2">
        <v>-5</v>
      </c>
      <c r="M15" s="2">
        <v>-5</v>
      </c>
      <c r="N15" s="2">
        <f>-19-K15-L15-M15</f>
        <v>-5</v>
      </c>
      <c r="O15" s="2">
        <v>-5</v>
      </c>
      <c r="P15" s="2">
        <v>-5</v>
      </c>
      <c r="Q15" s="2">
        <v>-5</v>
      </c>
      <c r="R15" s="2">
        <f>-18-O15-P15-Q15</f>
        <v>-3</v>
      </c>
      <c r="S15" s="2">
        <v>-5</v>
      </c>
      <c r="T15" s="2">
        <v>-7</v>
      </c>
    </row>
    <row r="16" spans="1:20">
      <c r="B16" s="2" t="s">
        <v>39</v>
      </c>
      <c r="C16" s="2">
        <f>+C14-C15</f>
        <v>-17</v>
      </c>
      <c r="D16" s="2">
        <f>+D14-D15</f>
        <v>-18</v>
      </c>
      <c r="E16" s="2">
        <f>+E14-E15</f>
        <v>-23</v>
      </c>
      <c r="F16" s="2"/>
      <c r="G16" s="2">
        <f>+G14-G15</f>
        <v>-25</v>
      </c>
      <c r="H16" s="2">
        <f>+H14-H15</f>
        <v>-28</v>
      </c>
      <c r="I16" s="2">
        <f>+I14-I15</f>
        <v>-38</v>
      </c>
      <c r="J16" s="2">
        <f>+J14-J15</f>
        <v>-47</v>
      </c>
      <c r="K16" s="2">
        <f>+K14-K15</f>
        <v>-25</v>
      </c>
      <c r="L16" s="2">
        <f>+L14-L15</f>
        <v>-28</v>
      </c>
      <c r="M16" s="2">
        <f>+M14-M15</f>
        <v>-38</v>
      </c>
      <c r="N16" s="2">
        <f>+N14-N15</f>
        <v>-47</v>
      </c>
      <c r="O16" s="2">
        <f>+O14-O15</f>
        <v>-47</v>
      </c>
      <c r="P16" s="2">
        <f>+P14-P15</f>
        <v>-44</v>
      </c>
      <c r="Q16" s="2">
        <f>+Q14-Q15</f>
        <v>-49</v>
      </c>
      <c r="R16" s="2">
        <f>+R14-R15</f>
        <v>-75</v>
      </c>
      <c r="S16" s="2">
        <f>+S14-S15</f>
        <v>-71</v>
      </c>
      <c r="T16" s="2">
        <f>+T14-T15</f>
        <v>-153</v>
      </c>
    </row>
    <row r="17" spans="2:20">
      <c r="B17" s="2" t="s">
        <v>40</v>
      </c>
      <c r="C17" s="2">
        <v>0</v>
      </c>
      <c r="D17" s="2">
        <v>0</v>
      </c>
      <c r="E17" s="2">
        <v>0</v>
      </c>
      <c r="F17" s="2"/>
      <c r="G17" s="2">
        <v>0</v>
      </c>
      <c r="H17" s="2">
        <v>0</v>
      </c>
      <c r="I17" s="2">
        <v>0</v>
      </c>
      <c r="J17" s="2">
        <v>0</v>
      </c>
      <c r="K17" s="2">
        <v>0</v>
      </c>
      <c r="L17" s="2">
        <v>0</v>
      </c>
      <c r="M17" s="2">
        <v>0</v>
      </c>
      <c r="N17" s="2">
        <v>0</v>
      </c>
      <c r="O17" s="2">
        <v>0</v>
      </c>
      <c r="P17" s="2">
        <v>0</v>
      </c>
      <c r="Q17" s="2">
        <v>0</v>
      </c>
      <c r="R17" s="2">
        <v>0</v>
      </c>
      <c r="S17" s="2">
        <v>0</v>
      </c>
      <c r="T17" s="2">
        <v>15</v>
      </c>
    </row>
    <row r="18" spans="2:20" s="3" customFormat="1">
      <c r="B18" s="3" t="s">
        <v>41</v>
      </c>
      <c r="C18" s="6">
        <f>+C16-C17</f>
        <v>-17</v>
      </c>
      <c r="D18" s="6">
        <f>+D16-D17</f>
        <v>-18</v>
      </c>
      <c r="E18" s="6">
        <f>+E16-E17</f>
        <v>-23</v>
      </c>
      <c r="F18" s="6"/>
      <c r="G18" s="6">
        <f>+G16-G17</f>
        <v>-25</v>
      </c>
      <c r="H18" s="6">
        <f>+H16-H17</f>
        <v>-28</v>
      </c>
      <c r="I18" s="6">
        <f>+I16-I17</f>
        <v>-38</v>
      </c>
      <c r="J18" s="6">
        <f>+J16-J17</f>
        <v>-47</v>
      </c>
      <c r="K18" s="6">
        <f>+K16-K17</f>
        <v>-25</v>
      </c>
      <c r="L18" s="6">
        <f>+L16-L17</f>
        <v>-28</v>
      </c>
      <c r="M18" s="6">
        <f>+M16-M17</f>
        <v>-38</v>
      </c>
      <c r="N18" s="6">
        <f>+N16-N17</f>
        <v>-47</v>
      </c>
      <c r="O18" s="6">
        <f>+O16-O17</f>
        <v>-47</v>
      </c>
      <c r="P18" s="6">
        <f>+P16-P17</f>
        <v>-44</v>
      </c>
      <c r="Q18" s="6">
        <f>+Q16-Q17</f>
        <v>-49</v>
      </c>
      <c r="R18" s="6">
        <f>+R16-R17</f>
        <v>-75</v>
      </c>
      <c r="S18" s="6">
        <f>+S16-S17</f>
        <v>-71</v>
      </c>
      <c r="T18" s="6">
        <f>+T16-T17</f>
        <v>-168</v>
      </c>
    </row>
    <row r="19" spans="2:20" s="3" customFormat="1">
      <c r="B19" s="3" t="s">
        <v>42</v>
      </c>
      <c r="C19" s="4">
        <f>+C18/C20</f>
        <v>-8.673469387755102E-2</v>
      </c>
      <c r="D19" s="4">
        <f>+D18/D20</f>
        <v>-9.1370558375634514E-2</v>
      </c>
      <c r="E19" s="4">
        <f>+E18/E20</f>
        <v>-0.11616161616161616</v>
      </c>
      <c r="F19" s="4"/>
      <c r="G19" s="4">
        <f>+G18/G20</f>
        <v>-0.125</v>
      </c>
      <c r="H19" s="4">
        <f>+H18/H20</f>
        <v>-0.13930348258706468</v>
      </c>
      <c r="I19" s="4">
        <f>+I18/I20</f>
        <v>-0.18719211822660098</v>
      </c>
      <c r="J19" s="4">
        <f>+J18/J20</f>
        <v>-0.23152709359605911</v>
      </c>
      <c r="K19" s="4">
        <f>+K18/K20</f>
        <v>-0.125</v>
      </c>
      <c r="L19" s="4">
        <f>+L18/L20</f>
        <v>-0.13930348258706468</v>
      </c>
      <c r="M19" s="4">
        <f>+M18/M20</f>
        <v>-0.18719211822660098</v>
      </c>
      <c r="N19" s="4">
        <f>+N18/N20</f>
        <v>-0.23152709359605911</v>
      </c>
      <c r="O19" s="4">
        <f>+O18/O20</f>
        <v>-0.20524017467248909</v>
      </c>
      <c r="P19" s="4">
        <f>+P18/P20</f>
        <v>-0.1752988047808765</v>
      </c>
      <c r="Q19" s="4">
        <f>+Q18/Q20</f>
        <v>-0.22897196261682243</v>
      </c>
      <c r="R19" s="4">
        <f>+R18/R20</f>
        <v>-0.352112676056338</v>
      </c>
      <c r="S19" s="4">
        <f>+S18/S20</f>
        <v>-0.31004366812227074</v>
      </c>
      <c r="T19" s="4">
        <f>+T18/T20</f>
        <v>-0.66932270916334657</v>
      </c>
    </row>
    <row r="20" spans="2:20">
      <c r="B20" t="s">
        <v>43</v>
      </c>
      <c r="C20" s="2">
        <v>196</v>
      </c>
      <c r="D20" s="2">
        <v>197</v>
      </c>
      <c r="E20" s="2">
        <v>198</v>
      </c>
      <c r="F20" s="2"/>
      <c r="G20" s="2">
        <v>200</v>
      </c>
      <c r="H20" s="2">
        <v>201</v>
      </c>
      <c r="I20" s="2">
        <v>203</v>
      </c>
      <c r="J20" s="2">
        <v>203</v>
      </c>
      <c r="K20" s="2">
        <v>200</v>
      </c>
      <c r="L20" s="2">
        <v>201</v>
      </c>
      <c r="M20" s="2">
        <v>203</v>
      </c>
      <c r="N20" s="2">
        <v>203</v>
      </c>
      <c r="O20" s="2">
        <v>229</v>
      </c>
      <c r="P20" s="2">
        <v>251</v>
      </c>
      <c r="Q20" s="2">
        <v>214</v>
      </c>
      <c r="R20" s="2">
        <v>213</v>
      </c>
      <c r="S20" s="2">
        <v>229</v>
      </c>
      <c r="T20" s="2">
        <v>251</v>
      </c>
    </row>
    <row r="22" spans="2:20" s="3" customFormat="1">
      <c r="B22" s="3" t="s">
        <v>44</v>
      </c>
      <c r="C22" s="5"/>
      <c r="D22" s="5"/>
      <c r="E22" s="5"/>
      <c r="F22" s="5"/>
      <c r="G22" s="5"/>
      <c r="H22" s="5"/>
      <c r="I22" s="5"/>
      <c r="J22" s="5"/>
      <c r="K22" s="5">
        <f>+K6/C6-1</f>
        <v>1</v>
      </c>
      <c r="L22" s="5">
        <f>+L6/D6-1</f>
        <v>1</v>
      </c>
      <c r="M22" s="5">
        <f>+M6/E6-1</f>
        <v>1</v>
      </c>
      <c r="N22" s="5" t="e">
        <f>+N6/F6-1</f>
        <v>#DIV/0!</v>
      </c>
      <c r="O22" s="5">
        <f t="shared" ref="O22:S22" si="1">+O6/K6-1</f>
        <v>1</v>
      </c>
      <c r="P22" s="5">
        <f t="shared" si="1"/>
        <v>0.83333333333333326</v>
      </c>
      <c r="Q22" s="5">
        <f t="shared" si="1"/>
        <v>1</v>
      </c>
      <c r="R22" s="5">
        <f t="shared" si="1"/>
        <v>1</v>
      </c>
      <c r="S22" s="5">
        <f t="shared" si="1"/>
        <v>0</v>
      </c>
      <c r="T22" s="5">
        <f>+T6/P6-1</f>
        <v>0.90909090909090917</v>
      </c>
    </row>
    <row r="23" spans="2:20" s="3" customFormat="1">
      <c r="B23" s="3" t="s">
        <v>45</v>
      </c>
      <c r="C23" s="7">
        <f>+C8/C6</f>
        <v>0.5</v>
      </c>
      <c r="D23" s="7">
        <f>+D8/D6</f>
        <v>0.66666666666666663</v>
      </c>
      <c r="E23" s="7">
        <f>+E8/E6</f>
        <v>0.66666666666666663</v>
      </c>
      <c r="F23" s="7"/>
      <c r="G23" s="7">
        <f>+G8/G6</f>
        <v>0.75</v>
      </c>
      <c r="H23" s="7">
        <f>+H8/H6</f>
        <v>0.66666666666666663</v>
      </c>
      <c r="I23" s="7">
        <f>+I8/I6</f>
        <v>0.66666666666666663</v>
      </c>
      <c r="J23" s="7">
        <f>+J8/J6</f>
        <v>0.5</v>
      </c>
      <c r="K23" s="7">
        <f>+K8/K6</f>
        <v>0.75</v>
      </c>
      <c r="L23" s="7">
        <f>+L8/L6</f>
        <v>0.66666666666666663</v>
      </c>
      <c r="M23" s="7">
        <f>+M8/M6</f>
        <v>0.66666666666666663</v>
      </c>
      <c r="N23" s="7">
        <f>+N8/N6</f>
        <v>0.5</v>
      </c>
      <c r="O23" s="7">
        <f>+O8/O6</f>
        <v>0.625</v>
      </c>
      <c r="P23" s="7">
        <f>+P8/P6</f>
        <v>0.45454545454545453</v>
      </c>
      <c r="Q23" s="7">
        <f>+Q8/Q6</f>
        <v>0.41666666666666669</v>
      </c>
      <c r="R23" s="7">
        <f>+R8/R6</f>
        <v>0.58333333333333337</v>
      </c>
      <c r="S23" s="7">
        <f>+S8/S6</f>
        <v>0.5</v>
      </c>
      <c r="T23" s="7">
        <f>+T8/T6</f>
        <v>0.61904761904761907</v>
      </c>
    </row>
    <row r="25" spans="2:20">
      <c r="B25" t="s">
        <v>46</v>
      </c>
      <c r="C25" s="2">
        <f>44+380</f>
        <v>424</v>
      </c>
      <c r="D25" s="2">
        <f>44+380</f>
        <v>424</v>
      </c>
      <c r="E25" s="2">
        <f>57+348</f>
        <v>405</v>
      </c>
      <c r="F25" s="2"/>
      <c r="G25" s="2">
        <f>14+362</f>
        <v>376</v>
      </c>
      <c r="H25" s="2">
        <f>14+362</f>
        <v>376</v>
      </c>
      <c r="I25" s="2">
        <f>37+347</f>
        <v>384</v>
      </c>
      <c r="J25" s="2">
        <f>36+320</f>
        <v>356</v>
      </c>
      <c r="K25" s="2">
        <f>52+336</f>
        <v>388</v>
      </c>
      <c r="L25" s="2">
        <f>14+362</f>
        <v>376</v>
      </c>
      <c r="M25" s="2">
        <f>37+347</f>
        <v>384</v>
      </c>
      <c r="N25" s="2">
        <f>36+320</f>
        <v>356</v>
      </c>
      <c r="O25" s="2">
        <f>60+315</f>
        <v>375</v>
      </c>
      <c r="P25" s="2">
        <f>42+328</f>
        <v>370</v>
      </c>
      <c r="Q25" s="2">
        <f>30+336</f>
        <v>366</v>
      </c>
      <c r="R25" s="2">
        <f>54+286</f>
        <v>340</v>
      </c>
      <c r="S25" s="2">
        <f>160+429</f>
        <v>589</v>
      </c>
      <c r="T25" s="2">
        <f>140+407</f>
        <v>547</v>
      </c>
    </row>
    <row r="26" spans="2:20">
      <c r="B26" t="s">
        <v>47</v>
      </c>
      <c r="C26" s="2">
        <v>2</v>
      </c>
      <c r="D26" s="2">
        <v>2</v>
      </c>
      <c r="E26" s="2">
        <v>3</v>
      </c>
      <c r="F26" s="2"/>
      <c r="G26" s="2">
        <v>2</v>
      </c>
      <c r="H26" s="2">
        <v>2</v>
      </c>
      <c r="I26" s="2">
        <v>3</v>
      </c>
      <c r="J26" s="2">
        <v>11</v>
      </c>
      <c r="K26" s="2">
        <v>2</v>
      </c>
      <c r="L26" s="2">
        <v>2</v>
      </c>
      <c r="M26" s="2">
        <v>3</v>
      </c>
      <c r="N26" s="2">
        <v>11</v>
      </c>
      <c r="O26" s="2">
        <v>10</v>
      </c>
      <c r="P26" s="2">
        <v>8</v>
      </c>
      <c r="Q26" s="2">
        <v>4</v>
      </c>
      <c r="R26" s="2">
        <v>10</v>
      </c>
      <c r="S26" s="2">
        <v>9</v>
      </c>
      <c r="T26" s="2">
        <v>19</v>
      </c>
    </row>
    <row r="27" spans="2:20">
      <c r="B27" t="s">
        <v>48</v>
      </c>
      <c r="C27" s="2">
        <v>5</v>
      </c>
      <c r="D27" s="2">
        <v>5</v>
      </c>
      <c r="E27" s="2">
        <v>8</v>
      </c>
      <c r="F27" s="2"/>
      <c r="G27" s="2">
        <v>13</v>
      </c>
      <c r="H27" s="2">
        <v>13</v>
      </c>
      <c r="I27" s="2">
        <v>17</v>
      </c>
      <c r="J27" s="2">
        <v>23</v>
      </c>
      <c r="K27" s="2">
        <v>13</v>
      </c>
      <c r="L27" s="2">
        <v>13</v>
      </c>
      <c r="M27" s="2">
        <v>16</v>
      </c>
      <c r="N27" s="2">
        <v>23</v>
      </c>
      <c r="O27" s="2">
        <v>25</v>
      </c>
      <c r="P27" s="2">
        <v>27</v>
      </c>
      <c r="Q27" s="2">
        <v>26</v>
      </c>
      <c r="R27" s="2">
        <v>28</v>
      </c>
      <c r="S27" s="2">
        <v>39</v>
      </c>
      <c r="T27" s="2">
        <v>60</v>
      </c>
    </row>
    <row r="28" spans="2:20">
      <c r="B28" t="s">
        <v>49</v>
      </c>
      <c r="C28" s="2">
        <v>148</v>
      </c>
      <c r="D28" s="2">
        <v>148</v>
      </c>
      <c r="E28" s="2">
        <v>150</v>
      </c>
      <c r="F28" s="2"/>
      <c r="G28" s="2">
        <v>134</v>
      </c>
      <c r="H28" s="2">
        <v>134</v>
      </c>
      <c r="I28" s="2">
        <v>101</v>
      </c>
      <c r="J28" s="2">
        <v>100</v>
      </c>
      <c r="K28" s="2">
        <v>138</v>
      </c>
      <c r="L28" s="2">
        <v>134</v>
      </c>
      <c r="M28" s="2">
        <v>101</v>
      </c>
      <c r="N28" s="2">
        <v>100</v>
      </c>
      <c r="O28" s="2">
        <v>59</v>
      </c>
      <c r="P28" s="2">
        <v>32</v>
      </c>
      <c r="Q28" s="2">
        <v>17</v>
      </c>
      <c r="R28" s="2">
        <v>24</v>
      </c>
      <c r="S28" s="2">
        <v>109</v>
      </c>
      <c r="T28" s="2">
        <v>110</v>
      </c>
    </row>
    <row r="29" spans="2:20">
      <c r="B29" t="s">
        <v>50</v>
      </c>
      <c r="C29" s="2">
        <v>25</v>
      </c>
      <c r="D29" s="2">
        <v>25</v>
      </c>
      <c r="E29" s="2">
        <v>25</v>
      </c>
      <c r="F29" s="2"/>
      <c r="G29" s="2">
        <v>29</v>
      </c>
      <c r="H29" s="2">
        <v>29</v>
      </c>
      <c r="I29" s="2">
        <v>33</v>
      </c>
      <c r="J29" s="2">
        <v>38</v>
      </c>
      <c r="K29" s="2">
        <v>26</v>
      </c>
      <c r="L29" s="2">
        <v>29</v>
      </c>
      <c r="M29" s="2">
        <v>35</v>
      </c>
      <c r="N29" s="2">
        <v>38</v>
      </c>
      <c r="O29" s="2">
        <v>42</v>
      </c>
      <c r="P29" s="2">
        <v>48</v>
      </c>
      <c r="Q29" s="2">
        <v>49</v>
      </c>
      <c r="R29" s="2">
        <v>53</v>
      </c>
      <c r="S29" s="2">
        <v>52</v>
      </c>
      <c r="T29" s="2">
        <v>59</v>
      </c>
    </row>
    <row r="30" spans="2:20">
      <c r="B30" t="s">
        <v>51</v>
      </c>
      <c r="C30" s="2">
        <v>4</v>
      </c>
      <c r="D30" s="2">
        <v>4</v>
      </c>
      <c r="E30" s="2">
        <v>4</v>
      </c>
      <c r="F30" s="2"/>
      <c r="G30" s="2">
        <v>6</v>
      </c>
      <c r="H30" s="2">
        <v>6</v>
      </c>
      <c r="I30" s="2">
        <v>6</v>
      </c>
      <c r="J30" s="2">
        <v>5</v>
      </c>
      <c r="K30" s="2">
        <v>6</v>
      </c>
      <c r="L30" s="2">
        <v>6</v>
      </c>
      <c r="M30" s="2">
        <v>6</v>
      </c>
      <c r="N30" s="2">
        <v>5</v>
      </c>
      <c r="O30" s="2">
        <v>9</v>
      </c>
      <c r="P30" s="2">
        <v>10</v>
      </c>
      <c r="Q30" s="2">
        <v>10</v>
      </c>
      <c r="R30" s="2">
        <v>9</v>
      </c>
      <c r="S30" s="2">
        <v>9</v>
      </c>
      <c r="T30" s="2">
        <v>11</v>
      </c>
    </row>
    <row r="31" spans="2:20">
      <c r="B31" t="s">
        <v>52</v>
      </c>
      <c r="C31" s="2">
        <v>7</v>
      </c>
      <c r="D31" s="2">
        <v>7</v>
      </c>
      <c r="E31" s="2">
        <v>8</v>
      </c>
      <c r="F31" s="2"/>
      <c r="G31" s="2">
        <v>12</v>
      </c>
      <c r="H31" s="2">
        <v>12</v>
      </c>
      <c r="I31" s="2">
        <v>13</v>
      </c>
      <c r="J31" s="2">
        <v>15</v>
      </c>
      <c r="K31" s="2">
        <v>10</v>
      </c>
      <c r="L31" s="2">
        <v>12</v>
      </c>
      <c r="M31" s="2">
        <v>13</v>
      </c>
      <c r="N31" s="2">
        <v>15</v>
      </c>
      <c r="O31" s="2">
        <v>17</v>
      </c>
      <c r="P31" s="2">
        <v>17</v>
      </c>
      <c r="Q31" s="2">
        <v>17</v>
      </c>
      <c r="R31" s="2">
        <v>29</v>
      </c>
      <c r="S31" s="2">
        <v>28</v>
      </c>
      <c r="T31" s="2">
        <v>143</v>
      </c>
    </row>
    <row r="32" spans="2:20">
      <c r="B32" t="s">
        <v>53</v>
      </c>
      <c r="C32" s="2">
        <v>0</v>
      </c>
      <c r="D32" s="2">
        <v>0</v>
      </c>
      <c r="E32" s="2">
        <v>0</v>
      </c>
      <c r="F32" s="2"/>
      <c r="G32" s="2">
        <v>1</v>
      </c>
      <c r="H32" s="2">
        <v>1</v>
      </c>
      <c r="I32" s="2">
        <v>1</v>
      </c>
      <c r="J32" s="2">
        <v>1</v>
      </c>
      <c r="K32" s="2">
        <v>0</v>
      </c>
      <c r="L32" s="2">
        <v>0</v>
      </c>
      <c r="M32" s="2">
        <v>0</v>
      </c>
      <c r="N32" s="2">
        <v>0</v>
      </c>
      <c r="O32" s="2">
        <v>0</v>
      </c>
      <c r="P32" s="2">
        <v>0</v>
      </c>
      <c r="Q32" s="2">
        <v>0</v>
      </c>
      <c r="R32" s="2">
        <v>10</v>
      </c>
      <c r="S32" s="2">
        <v>11</v>
      </c>
      <c r="T32" s="2">
        <v>370</v>
      </c>
    </row>
    <row r="33" spans="2:20">
      <c r="B33" t="s">
        <v>54</v>
      </c>
      <c r="C33" s="2">
        <v>3</v>
      </c>
      <c r="D33" s="2">
        <v>3</v>
      </c>
      <c r="E33" s="2">
        <v>3</v>
      </c>
      <c r="F33" s="2"/>
      <c r="G33" s="2">
        <v>5</v>
      </c>
      <c r="H33" s="2">
        <v>5</v>
      </c>
      <c r="I33" s="2">
        <v>6</v>
      </c>
      <c r="J33" s="2">
        <v>5</v>
      </c>
      <c r="K33" s="2">
        <v>5</v>
      </c>
      <c r="L33" s="2">
        <v>5</v>
      </c>
      <c r="M33" s="2">
        <v>6</v>
      </c>
      <c r="N33" s="2">
        <v>5</v>
      </c>
      <c r="O33" s="2">
        <v>6</v>
      </c>
      <c r="P33" s="2">
        <v>5</v>
      </c>
      <c r="Q33" s="2">
        <v>8</v>
      </c>
      <c r="R33" s="2">
        <v>4</v>
      </c>
      <c r="S33" s="2">
        <v>4</v>
      </c>
      <c r="T33" s="2">
        <v>27</v>
      </c>
    </row>
    <row r="34" spans="2:20" s="3" customFormat="1">
      <c r="B34" s="3" t="s">
        <v>55</v>
      </c>
      <c r="C34" s="6">
        <f>SUM(C25:C33)</f>
        <v>618</v>
      </c>
      <c r="D34" s="6">
        <f>SUM(D25:D33)</f>
        <v>618</v>
      </c>
      <c r="E34" s="6">
        <f>SUM(E25:E33)</f>
        <v>606</v>
      </c>
      <c r="F34" s="6"/>
      <c r="G34" s="6">
        <f>SUM(G25:G33)</f>
        <v>578</v>
      </c>
      <c r="H34" s="6">
        <f>SUM(H25:H33)</f>
        <v>578</v>
      </c>
      <c r="I34" s="6">
        <f>SUM(I25:I33)</f>
        <v>564</v>
      </c>
      <c r="J34" s="6">
        <f>SUM(J25:J33)</f>
        <v>554</v>
      </c>
      <c r="K34" s="6">
        <f>SUM(K25:K33)</f>
        <v>588</v>
      </c>
      <c r="L34" s="6">
        <f>SUM(L25:L33)</f>
        <v>577</v>
      </c>
      <c r="M34" s="6">
        <f>SUM(M25:M33)</f>
        <v>564</v>
      </c>
      <c r="N34" s="6">
        <f>SUM(N25:N33)</f>
        <v>553</v>
      </c>
      <c r="O34" s="6">
        <f>SUM(O25:O33)</f>
        <v>543</v>
      </c>
      <c r="P34" s="6">
        <f>SUM(P25:P33)</f>
        <v>517</v>
      </c>
      <c r="Q34" s="6">
        <f>SUM(Q25:Q33)</f>
        <v>497</v>
      </c>
      <c r="R34" s="6">
        <f>SUM(R25:R33)</f>
        <v>507</v>
      </c>
      <c r="S34" s="6">
        <f>SUM(S25:S33)</f>
        <v>850</v>
      </c>
      <c r="T34" s="6">
        <f>SUM(T25:T33)</f>
        <v>1346</v>
      </c>
    </row>
    <row r="36" spans="2:20">
      <c r="B36" t="s">
        <v>56</v>
      </c>
      <c r="C36" s="2">
        <v>4</v>
      </c>
      <c r="D36" s="2">
        <v>4</v>
      </c>
      <c r="E36" s="2">
        <v>5</v>
      </c>
      <c r="F36" s="2"/>
      <c r="G36" s="2">
        <v>5</v>
      </c>
      <c r="H36" s="2">
        <v>5</v>
      </c>
      <c r="I36" s="2">
        <v>6</v>
      </c>
      <c r="J36" s="2">
        <v>6</v>
      </c>
      <c r="K36" s="2">
        <v>4</v>
      </c>
      <c r="L36" s="2">
        <v>5</v>
      </c>
      <c r="M36" s="2">
        <v>6</v>
      </c>
      <c r="N36" s="2">
        <v>6</v>
      </c>
      <c r="O36" s="2">
        <v>6</v>
      </c>
      <c r="P36" s="2">
        <v>6</v>
      </c>
      <c r="Q36" s="2">
        <v>5</v>
      </c>
      <c r="R36" s="2">
        <v>5</v>
      </c>
      <c r="S36" s="2">
        <v>9</v>
      </c>
      <c r="T36" s="2">
        <v>9</v>
      </c>
    </row>
    <row r="37" spans="2:20">
      <c r="B37" t="s">
        <v>57</v>
      </c>
      <c r="C37" s="2">
        <v>4</v>
      </c>
      <c r="D37" s="2">
        <v>4</v>
      </c>
      <c r="E37" s="2">
        <v>8</v>
      </c>
      <c r="F37" s="2"/>
      <c r="G37" s="2">
        <v>9</v>
      </c>
      <c r="H37" s="2">
        <v>9</v>
      </c>
      <c r="I37" s="2">
        <v>16</v>
      </c>
      <c r="J37" s="2">
        <v>18</v>
      </c>
      <c r="K37" s="2">
        <v>9</v>
      </c>
      <c r="L37" s="2">
        <v>9</v>
      </c>
      <c r="M37" s="2">
        <v>16</v>
      </c>
      <c r="N37" s="2">
        <v>18</v>
      </c>
      <c r="O37" s="2">
        <v>11</v>
      </c>
      <c r="P37" s="2">
        <v>9</v>
      </c>
      <c r="Q37" s="2">
        <v>16</v>
      </c>
      <c r="R37" s="2">
        <v>16</v>
      </c>
      <c r="S37" s="2">
        <v>24</v>
      </c>
      <c r="T37" s="2">
        <v>49</v>
      </c>
    </row>
    <row r="38" spans="2:20">
      <c r="B38" t="s">
        <v>58</v>
      </c>
      <c r="C38" s="2">
        <v>1</v>
      </c>
      <c r="D38" s="2">
        <v>1</v>
      </c>
      <c r="E38" s="2">
        <v>1</v>
      </c>
      <c r="F38" s="2"/>
      <c r="G38" s="2">
        <v>1</v>
      </c>
      <c r="H38" s="2">
        <v>1</v>
      </c>
      <c r="I38" s="2">
        <v>1</v>
      </c>
      <c r="J38" s="2">
        <v>1</v>
      </c>
      <c r="K38" s="2">
        <v>0</v>
      </c>
      <c r="L38" s="2">
        <v>0</v>
      </c>
      <c r="M38" s="2">
        <v>0</v>
      </c>
      <c r="N38" s="2">
        <v>0</v>
      </c>
      <c r="O38" s="2">
        <v>1</v>
      </c>
      <c r="P38" s="2">
        <v>1</v>
      </c>
      <c r="Q38" s="2">
        <v>3</v>
      </c>
      <c r="R38" s="2">
        <v>3</v>
      </c>
      <c r="S38" s="2">
        <v>4</v>
      </c>
      <c r="T38" s="2">
        <v>6</v>
      </c>
    </row>
    <row r="39" spans="2:20">
      <c r="B39" t="s">
        <v>59</v>
      </c>
      <c r="C39" s="2">
        <v>5</v>
      </c>
      <c r="D39" s="2">
        <v>5</v>
      </c>
      <c r="E39" s="2">
        <v>5</v>
      </c>
      <c r="F39" s="2"/>
      <c r="G39" s="2">
        <v>8</v>
      </c>
      <c r="H39" s="2">
        <v>8</v>
      </c>
      <c r="I39" s="2">
        <v>5</v>
      </c>
      <c r="J39" s="2">
        <v>12</v>
      </c>
      <c r="K39" s="2">
        <v>6</v>
      </c>
      <c r="L39" s="2">
        <v>8</v>
      </c>
      <c r="M39" s="2">
        <v>5</v>
      </c>
      <c r="N39" s="2">
        <v>12</v>
      </c>
      <c r="O39" s="2">
        <v>17</v>
      </c>
      <c r="P39" s="2">
        <v>14</v>
      </c>
      <c r="Q39" s="2">
        <v>8</v>
      </c>
      <c r="R39" s="2">
        <v>11</v>
      </c>
      <c r="S39" s="2">
        <v>12</v>
      </c>
      <c r="T39" s="2">
        <v>17</v>
      </c>
    </row>
    <row r="40" spans="2:20">
      <c r="B40" t="s">
        <v>60</v>
      </c>
      <c r="C40" s="2">
        <v>1</v>
      </c>
      <c r="D40" s="2">
        <v>1</v>
      </c>
      <c r="E40" s="2">
        <v>1</v>
      </c>
      <c r="F40" s="2"/>
      <c r="G40" s="2">
        <v>1</v>
      </c>
      <c r="H40" s="2">
        <v>1</v>
      </c>
      <c r="I40" s="2">
        <v>1</v>
      </c>
      <c r="J40" s="2">
        <v>1</v>
      </c>
      <c r="K40" s="2">
        <v>0</v>
      </c>
      <c r="L40" s="2">
        <v>0</v>
      </c>
      <c r="M40" s="2">
        <v>0</v>
      </c>
      <c r="N40" s="2">
        <v>0</v>
      </c>
      <c r="O40" s="2">
        <v>0</v>
      </c>
      <c r="P40" s="2">
        <v>0</v>
      </c>
      <c r="Q40" s="2">
        <v>0</v>
      </c>
      <c r="R40" s="2">
        <v>0</v>
      </c>
      <c r="S40" s="2">
        <v>0</v>
      </c>
      <c r="T40" s="2">
        <v>0.2</v>
      </c>
    </row>
    <row r="41" spans="2:20">
      <c r="B41" t="s">
        <v>61</v>
      </c>
      <c r="C41" s="2">
        <v>4</v>
      </c>
      <c r="D41" s="2">
        <v>4</v>
      </c>
      <c r="E41" s="2">
        <v>4</v>
      </c>
      <c r="F41" s="2"/>
      <c r="G41" s="2">
        <v>6</v>
      </c>
      <c r="H41" s="2">
        <v>6</v>
      </c>
      <c r="I41" s="2">
        <v>7</v>
      </c>
      <c r="J41" s="2">
        <v>7</v>
      </c>
      <c r="K41" s="2">
        <v>7</v>
      </c>
      <c r="L41" s="2">
        <v>6</v>
      </c>
      <c r="M41" s="2">
        <v>29</v>
      </c>
      <c r="N41" s="2">
        <v>7</v>
      </c>
      <c r="O41" s="2">
        <v>14</v>
      </c>
      <c r="P41" s="2">
        <v>15</v>
      </c>
      <c r="Q41" s="2">
        <v>15</v>
      </c>
      <c r="R41" s="2">
        <v>14</v>
      </c>
      <c r="S41" s="2">
        <v>14</v>
      </c>
      <c r="T41" s="2">
        <v>13</v>
      </c>
    </row>
    <row r="42" spans="2:20">
      <c r="B42" t="s">
        <v>62</v>
      </c>
      <c r="C42" s="2">
        <v>1</v>
      </c>
      <c r="D42" s="2">
        <v>1</v>
      </c>
      <c r="E42" s="2">
        <v>1</v>
      </c>
      <c r="F42" s="2"/>
      <c r="G42" s="2">
        <v>1</v>
      </c>
      <c r="H42" s="2">
        <v>1</v>
      </c>
      <c r="I42" s="2">
        <v>1</v>
      </c>
      <c r="J42" s="2">
        <v>1</v>
      </c>
      <c r="K42" s="2">
        <v>0</v>
      </c>
      <c r="L42" s="2">
        <v>0</v>
      </c>
      <c r="M42" s="2">
        <v>0</v>
      </c>
      <c r="N42" s="2">
        <v>0</v>
      </c>
      <c r="O42" s="2">
        <v>0</v>
      </c>
      <c r="P42" s="2">
        <v>0</v>
      </c>
      <c r="Q42" s="2">
        <v>0</v>
      </c>
      <c r="R42" s="2">
        <v>0</v>
      </c>
      <c r="S42" s="2">
        <v>0</v>
      </c>
      <c r="T42" s="2">
        <v>3</v>
      </c>
    </row>
    <row r="43" spans="2:20">
      <c r="B43" t="s">
        <v>63</v>
      </c>
      <c r="C43" s="2">
        <v>2</v>
      </c>
      <c r="D43" s="2">
        <v>2</v>
      </c>
      <c r="E43" s="2">
        <v>7</v>
      </c>
      <c r="F43" s="2"/>
      <c r="G43" s="2">
        <v>23</v>
      </c>
      <c r="H43" s="2">
        <v>23</v>
      </c>
      <c r="I43" s="2">
        <v>31</v>
      </c>
      <c r="J43" s="2">
        <v>31</v>
      </c>
      <c r="K43" s="2">
        <v>23</v>
      </c>
      <c r="L43" s="2">
        <v>23</v>
      </c>
      <c r="M43" s="2">
        <v>31</v>
      </c>
      <c r="N43" s="2">
        <v>23</v>
      </c>
      <c r="O43" s="2">
        <v>14</v>
      </c>
      <c r="P43" s="2">
        <v>8</v>
      </c>
      <c r="Q43" s="2">
        <v>12</v>
      </c>
      <c r="R43" s="2">
        <v>71</v>
      </c>
      <c r="S43" s="2">
        <v>21</v>
      </c>
      <c r="T43" s="2">
        <v>58</v>
      </c>
    </row>
    <row r="44" spans="2:20">
      <c r="B44" t="s">
        <v>64</v>
      </c>
      <c r="C44" s="2">
        <v>0</v>
      </c>
      <c r="D44" s="2">
        <v>0</v>
      </c>
      <c r="E44" s="2">
        <v>0</v>
      </c>
      <c r="F44" s="2"/>
      <c r="G44" s="2">
        <v>0</v>
      </c>
      <c r="H44" s="2">
        <v>0</v>
      </c>
      <c r="I44" s="2">
        <v>0</v>
      </c>
      <c r="J44" s="2">
        <v>0</v>
      </c>
      <c r="K44" s="2">
        <v>0</v>
      </c>
      <c r="L44" s="2">
        <v>0</v>
      </c>
      <c r="M44" s="2">
        <v>0</v>
      </c>
      <c r="N44" s="2">
        <v>0</v>
      </c>
      <c r="O44" s="2">
        <v>0</v>
      </c>
      <c r="P44" s="2">
        <v>0</v>
      </c>
      <c r="Q44" s="2">
        <v>3</v>
      </c>
      <c r="R44" s="2">
        <v>3</v>
      </c>
      <c r="S44" s="2">
        <v>2</v>
      </c>
      <c r="T44" s="2">
        <v>13</v>
      </c>
    </row>
    <row r="45" spans="2:20">
      <c r="B45" t="s">
        <v>65</v>
      </c>
      <c r="C45" s="2">
        <f>SUM(C36:C44)</f>
        <v>22</v>
      </c>
      <c r="D45" s="2">
        <f>SUM(D36:D44)</f>
        <v>22</v>
      </c>
      <c r="E45" s="2">
        <f>SUM(E36:E44)</f>
        <v>32</v>
      </c>
      <c r="F45" s="2"/>
      <c r="G45" s="2">
        <f>SUM(G36:G44)</f>
        <v>54</v>
      </c>
      <c r="H45" s="2">
        <f>SUM(H36:H44)</f>
        <v>54</v>
      </c>
      <c r="I45" s="2">
        <f>SUM(I36:I44)</f>
        <v>68</v>
      </c>
      <c r="J45" s="2">
        <f>SUM(J36:J44)</f>
        <v>77</v>
      </c>
      <c r="K45" s="2">
        <f>SUM(K36:K44)</f>
        <v>49</v>
      </c>
      <c r="L45" s="2">
        <f>SUM(L36:L44)</f>
        <v>51</v>
      </c>
      <c r="M45" s="2">
        <f>SUM(M36:M44)</f>
        <v>87</v>
      </c>
      <c r="N45" s="2">
        <f>SUM(N36:N44)</f>
        <v>66</v>
      </c>
      <c r="O45" s="2">
        <f>SUM(O36:O44)</f>
        <v>63</v>
      </c>
      <c r="P45" s="2">
        <f>SUM(P36:P44)</f>
        <v>53</v>
      </c>
      <c r="Q45" s="2">
        <f>SUM(Q36:Q44)</f>
        <v>62</v>
      </c>
      <c r="R45" s="2">
        <f>SUM(R36:R44)</f>
        <v>123</v>
      </c>
      <c r="S45" s="2">
        <f>SUM(S36:S44)</f>
        <v>86</v>
      </c>
      <c r="T45" s="2">
        <f>SUM(T36:T44)</f>
        <v>168.2</v>
      </c>
    </row>
    <row r="46" spans="2:20" s="3" customFormat="1">
      <c r="B46" s="3" t="s">
        <v>66</v>
      </c>
      <c r="C46" s="6">
        <f>SUM(C36:C45)</f>
        <v>44</v>
      </c>
      <c r="D46" s="6">
        <f>SUM(D36:D45)</f>
        <v>44</v>
      </c>
      <c r="E46" s="6">
        <f>SUM(E36:E45)</f>
        <v>64</v>
      </c>
      <c r="F46" s="6"/>
      <c r="G46" s="6">
        <f>SUM(G36:G45)</f>
        <v>108</v>
      </c>
      <c r="H46" s="6">
        <f>SUM(H36:H45)</f>
        <v>108</v>
      </c>
      <c r="I46" s="6">
        <f>SUM(I36:I45)</f>
        <v>136</v>
      </c>
      <c r="J46" s="6">
        <f>SUM(J36:J45)</f>
        <v>154</v>
      </c>
      <c r="K46" s="6">
        <f>SUM(K36:K45)</f>
        <v>98</v>
      </c>
      <c r="L46" s="6">
        <f>SUM(L36:L45)</f>
        <v>102</v>
      </c>
      <c r="M46" s="6">
        <f>SUM(M36:M45)</f>
        <v>174</v>
      </c>
      <c r="N46" s="6">
        <f>SUM(N36:N45)</f>
        <v>132</v>
      </c>
      <c r="O46" s="6">
        <f>SUM(O36:O45)</f>
        <v>126</v>
      </c>
      <c r="P46" s="6">
        <f>SUM(P36:P45)</f>
        <v>106</v>
      </c>
      <c r="Q46" s="6">
        <f>SUM(Q36:Q45)</f>
        <v>124</v>
      </c>
      <c r="R46" s="6">
        <f>SUM(R36:R45)</f>
        <v>246</v>
      </c>
      <c r="S46" s="6">
        <f>SUM(S36:S45)</f>
        <v>172</v>
      </c>
      <c r="T46" s="6">
        <f>SUM(T36:T45)</f>
        <v>336.4</v>
      </c>
    </row>
    <row r="48" spans="2:20">
      <c r="B48" t="s">
        <v>67</v>
      </c>
      <c r="T48">
        <v>-86</v>
      </c>
    </row>
    <row r="49" spans="2:20">
      <c r="B49" t="s">
        <v>68</v>
      </c>
      <c r="T49">
        <v>-4</v>
      </c>
    </row>
    <row r="50" spans="2:20" s="3" customFormat="1">
      <c r="B50" s="3" t="s">
        <v>69</v>
      </c>
      <c r="T50" s="3">
        <f>+T48-T49</f>
        <v>-82</v>
      </c>
    </row>
    <row r="52" spans="2:20">
      <c r="B52" t="s">
        <v>70</v>
      </c>
    </row>
    <row r="53" spans="2:20">
      <c r="B53" t="s">
        <v>71</v>
      </c>
      <c r="T53">
        <f>+T45/T20</f>
        <v>0.67011952191235058</v>
      </c>
    </row>
    <row r="54" spans="2:20">
      <c r="B54" t="s">
        <v>72</v>
      </c>
      <c r="T54">
        <f>+Sheet1!F2/Sheet2!T53</f>
        <v>89.536266349583826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F155-6957-4606-984F-7C632215ED81}">
  <dimension ref="B2:B28"/>
  <sheetViews>
    <sheetView workbookViewId="0">
      <selection activeCell="B2" sqref="B2:B26"/>
    </sheetView>
  </sheetViews>
  <sheetFormatPr defaultRowHeight="15"/>
  <cols>
    <col min="2" max="2" width="138.28515625" bestFit="1" customWidth="1"/>
  </cols>
  <sheetData>
    <row r="2" spans="2:2">
      <c r="B2" t="s">
        <v>73</v>
      </c>
    </row>
    <row r="3" spans="2:2" ht="18.75" customHeight="1">
      <c r="B3" s="8" t="s">
        <v>74</v>
      </c>
    </row>
    <row r="4" spans="2:2">
      <c r="B4" s="8" t="s">
        <v>75</v>
      </c>
    </row>
    <row r="5" spans="2:2">
      <c r="B5" s="8" t="s">
        <v>76</v>
      </c>
    </row>
    <row r="6" spans="2:2">
      <c r="B6" s="9" t="s">
        <v>77</v>
      </c>
    </row>
    <row r="7" spans="2:2">
      <c r="B7" s="8" t="s">
        <v>78</v>
      </c>
    </row>
    <row r="8" spans="2:2">
      <c r="B8" s="8" t="s">
        <v>79</v>
      </c>
    </row>
    <row r="9" spans="2:2">
      <c r="B9" s="8" t="s">
        <v>80</v>
      </c>
    </row>
    <row r="10" spans="2:2">
      <c r="B10" s="9" t="s">
        <v>81</v>
      </c>
    </row>
    <row r="11" spans="2:2">
      <c r="B11" s="10" t="s">
        <v>82</v>
      </c>
    </row>
    <row r="12" spans="2:2" ht="24.75">
      <c r="B12" s="10" t="s">
        <v>83</v>
      </c>
    </row>
    <row r="13" spans="2:2" ht="24.75">
      <c r="B13" s="10" t="s">
        <v>84</v>
      </c>
    </row>
    <row r="14" spans="2:2">
      <c r="B14" s="11" t="s">
        <v>85</v>
      </c>
    </row>
    <row r="15" spans="2:2">
      <c r="B15" s="11" t="s">
        <v>86</v>
      </c>
    </row>
    <row r="16" spans="2:2">
      <c r="B16" s="10" t="s">
        <v>87</v>
      </c>
    </row>
    <row r="17" spans="2:2">
      <c r="B17" s="10" t="s">
        <v>88</v>
      </c>
    </row>
    <row r="18" spans="2:2">
      <c r="B18" s="10" t="s">
        <v>89</v>
      </c>
    </row>
    <row r="19" spans="2:2">
      <c r="B19" s="10" t="s">
        <v>90</v>
      </c>
    </row>
    <row r="20" spans="2:2">
      <c r="B20" s="10" t="s">
        <v>91</v>
      </c>
    </row>
    <row r="21" spans="2:2" ht="24.75">
      <c r="B21" s="10" t="s">
        <v>92</v>
      </c>
    </row>
    <row r="22" spans="2:2">
      <c r="B22" s="10" t="s">
        <v>93</v>
      </c>
    </row>
    <row r="23" spans="2:2">
      <c r="B23" s="10" t="s">
        <v>94</v>
      </c>
    </row>
    <row r="24" spans="2:2" ht="24.75">
      <c r="B24" s="10" t="s">
        <v>95</v>
      </c>
    </row>
    <row r="25" spans="2:2">
      <c r="B25" s="10" t="s">
        <v>96</v>
      </c>
    </row>
    <row r="28" spans="2:2">
      <c r="B28" s="12"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Toth, Mr. Tim P.</cp:lastModifiedBy>
  <cp:revision/>
  <dcterms:created xsi:type="dcterms:W3CDTF">2025-10-27T05:01:19Z</dcterms:created>
  <dcterms:modified xsi:type="dcterms:W3CDTF">2025-10-28T06:33:28Z</dcterms:modified>
  <cp:category/>
  <cp:contentStatus/>
</cp:coreProperties>
</file>