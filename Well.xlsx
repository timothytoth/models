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204" documentId="11_0B1D56BE9CDCCE836B02CE7A5FB0D4A9BBFD1C62" xr6:coauthVersionLast="47" xr6:coauthVersionMax="47" xr10:uidLastSave="{21D6ECA3-7C83-4F37-AF1D-29994C836E65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2" l="1"/>
  <c r="L42" i="2"/>
  <c r="L18" i="2"/>
  <c r="L7" i="2"/>
  <c r="L9" i="2" s="1"/>
  <c r="L19" i="2" s="1"/>
  <c r="L20" i="2" s="1"/>
  <c r="L22" i="2" s="1"/>
  <c r="L23" i="2" s="1"/>
  <c r="G8" i="1"/>
  <c r="G7" i="1"/>
  <c r="M49" i="2"/>
  <c r="M42" i="2"/>
  <c r="M18" i="2"/>
  <c r="M7" i="2"/>
  <c r="M9" i="2" s="1"/>
  <c r="M19" i="2" s="1"/>
  <c r="M20" i="2" s="1"/>
  <c r="M22" i="2" s="1"/>
  <c r="M23" i="2" s="1"/>
  <c r="G5" i="1"/>
</calcChain>
</file>

<file path=xl/sharedStrings.xml><?xml version="1.0" encoding="utf-8"?>
<sst xmlns="http://schemas.openxmlformats.org/spreadsheetml/2006/main" count="63" uniqueCount="62">
  <si>
    <t>Price</t>
  </si>
  <si>
    <t>Shares</t>
  </si>
  <si>
    <t>MC</t>
  </si>
  <si>
    <t>Cash</t>
  </si>
  <si>
    <t>Debt</t>
  </si>
  <si>
    <t>EV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</si>
  <si>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</si>
  <si>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</si>
  <si>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</si>
  <si>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</si>
  <si>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</si>
  <si>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</si>
  <si>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</si>
  <si>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</si>
  <si>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</si>
  <si>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</si>
  <si>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</si>
  <si>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</si>
  <si>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</si>
  <si>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Resident fees</t>
  </si>
  <si>
    <t>rental income</t>
  </si>
  <si>
    <t>interest income</t>
  </si>
  <si>
    <t>other income</t>
  </si>
  <si>
    <t>Revenue</t>
  </si>
  <si>
    <t>COGS</t>
  </si>
  <si>
    <t>Gross Profit</t>
  </si>
  <si>
    <t>G&amp;A</t>
  </si>
  <si>
    <t>D&amp;A</t>
  </si>
  <si>
    <t>Interest expense</t>
  </si>
  <si>
    <t>derivavtives</t>
  </si>
  <si>
    <t>extinguishment of debt</t>
  </si>
  <si>
    <t>provision for loan losses</t>
  </si>
  <si>
    <t>impairment of assets</t>
  </si>
  <si>
    <t>other expenses</t>
  </si>
  <si>
    <t>Operating Expenses</t>
  </si>
  <si>
    <t>Operating Income</t>
  </si>
  <si>
    <t>Pretax income</t>
  </si>
  <si>
    <t>Taxes</t>
  </si>
  <si>
    <t>Net Income</t>
  </si>
  <si>
    <t>EPS</t>
  </si>
  <si>
    <t>Rev Growth</t>
  </si>
  <si>
    <t>Gross Margin</t>
  </si>
  <si>
    <t>Land and land improvements</t>
  </si>
  <si>
    <t>Buildings and improvements</t>
  </si>
  <si>
    <t>Acquired lease intangibles</t>
  </si>
  <si>
    <t>Real property held for sale</t>
  </si>
  <si>
    <t>Construction in progress</t>
  </si>
  <si>
    <t>less accumulated D&amp;A</t>
  </si>
  <si>
    <t>rou</t>
  </si>
  <si>
    <t>investments leases</t>
  </si>
  <si>
    <t>loans recieveable</t>
  </si>
  <si>
    <t>Investments in unconsolidated entites</t>
  </si>
  <si>
    <t>Cash and cash equilivants</t>
  </si>
  <si>
    <t>Restricted Cash</t>
  </si>
  <si>
    <t>receivables and other assets</t>
  </si>
  <si>
    <t>Assets</t>
  </si>
  <si>
    <t>Senior unsecured notes</t>
  </si>
  <si>
    <t>secured debt</t>
  </si>
  <si>
    <t>lease liablilites</t>
  </si>
  <si>
    <t>Accrued expenses</t>
  </si>
  <si>
    <t>SE</t>
  </si>
  <si>
    <t>L +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</si>
</sst>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/>
    <xf numFmtId="4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G8"/>
  <sheetViews>
    <sheetView workbookViewId="0">
      <selection activeCell="G5" sqref="G5"/>
    </sheetView>
  </sheetViews>
  <sheetFormatPr defaultRowHeight="15"/>
  <sheetData>
    <row r="3" spans="6:7">
      <c r="F3" t="s">
        <v>0</v>
      </c>
      <c r="G3">
        <v>187</v>
      </c>
    </row>
    <row r="4" spans="6:7">
      <c r="F4" t="s">
        <v>1</v>
      </c>
      <c r="G4">
        <v>686</v>
      </c>
    </row>
    <row r="5" spans="6:7">
      <c r="F5" t="s">
        <v>2</v>
      </c>
      <c r="G5">
        <f>G3*G4</f>
        <v>128282</v>
      </c>
    </row>
    <row r="6" spans="6:7">
      <c r="F6" t="s">
        <v>3</v>
      </c>
      <c r="G6" s="3">
        <v>6807</v>
      </c>
    </row>
    <row r="7" spans="6:7">
      <c r="F7" t="s">
        <v>4</v>
      </c>
      <c r="G7">
        <f>14365+2487</f>
        <v>16852</v>
      </c>
    </row>
    <row r="8" spans="6:7">
      <c r="F8" t="s">
        <v>5</v>
      </c>
      <c r="G8" s="3">
        <f>+G5-G6+G7</f>
        <v>138327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D54D-1683-4A9F-9387-E78204F87B85}">
  <dimension ref="A1:N49"/>
  <sheetViews>
    <sheetView tabSelected="1" workbookViewId="0">
      <pane xSplit="2" ySplit="2" topLeftCell="E28" activePane="bottomRight" state="frozen"/>
      <selection pane="bottomRight" activeCell="L29" sqref="L29"/>
      <selection pane="bottomLeft"/>
      <selection pane="topRight"/>
    </sheetView>
  </sheetViews>
  <sheetFormatPr defaultRowHeight="15"/>
  <cols>
    <col min="2" max="2" width="22.140625" bestFit="1" customWidth="1"/>
  </cols>
  <sheetData>
    <row r="1" spans="1:14">
      <c r="A1" t="s">
        <v>6</v>
      </c>
    </row>
    <row r="2" spans="1:14"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</row>
    <row r="3" spans="1:14">
      <c r="B3" t="s">
        <v>19</v>
      </c>
      <c r="L3" s="3">
        <v>1971</v>
      </c>
      <c r="M3" s="3">
        <v>2061</v>
      </c>
    </row>
    <row r="4" spans="1:14">
      <c r="B4" t="s">
        <v>20</v>
      </c>
      <c r="L4" s="3">
        <v>483</v>
      </c>
      <c r="M4" s="3">
        <v>499</v>
      </c>
    </row>
    <row r="5" spans="1:14">
      <c r="B5" t="s">
        <v>21</v>
      </c>
      <c r="L5" s="3">
        <v>62</v>
      </c>
      <c r="M5" s="3">
        <v>67</v>
      </c>
    </row>
    <row r="6" spans="1:14">
      <c r="B6" t="s">
        <v>22</v>
      </c>
      <c r="L6" s="3">
        <v>32</v>
      </c>
      <c r="M6" s="3">
        <v>58</v>
      </c>
    </row>
    <row r="7" spans="1:14" s="2" customFormat="1">
      <c r="B7" s="2" t="s">
        <v>23</v>
      </c>
      <c r="L7" s="5">
        <f>SUM(L3:L6)</f>
        <v>2548</v>
      </c>
      <c r="M7" s="5">
        <f>SUM(M3:M6)</f>
        <v>2685</v>
      </c>
    </row>
    <row r="8" spans="1:14" s="2" customFormat="1">
      <c r="B8" s="2" t="s">
        <v>24</v>
      </c>
      <c r="L8" s="5">
        <v>1515</v>
      </c>
      <c r="M8" s="5">
        <v>1577</v>
      </c>
    </row>
    <row r="9" spans="1:14" s="2" customFormat="1">
      <c r="B9" s="2" t="s">
        <v>25</v>
      </c>
      <c r="L9" s="5">
        <f>+L7-L8</f>
        <v>1033</v>
      </c>
      <c r="M9" s="5">
        <f>+M7-M8</f>
        <v>1108</v>
      </c>
    </row>
    <row r="10" spans="1:14">
      <c r="B10" t="s">
        <v>26</v>
      </c>
      <c r="L10" s="3">
        <v>64</v>
      </c>
      <c r="M10" s="3">
        <v>63</v>
      </c>
    </row>
    <row r="11" spans="1:14">
      <c r="B11" t="s">
        <v>27</v>
      </c>
      <c r="L11" s="3">
        <v>195</v>
      </c>
      <c r="M11" s="3">
        <v>510</v>
      </c>
    </row>
    <row r="12" spans="1:14">
      <c r="B12" t="s">
        <v>28</v>
      </c>
      <c r="L12" s="3">
        <v>141</v>
      </c>
      <c r="M12" s="3">
        <v>162</v>
      </c>
    </row>
    <row r="13" spans="1:14">
      <c r="B13" t="s">
        <v>29</v>
      </c>
      <c r="L13" s="3">
        <v>-0.4</v>
      </c>
      <c r="M13" s="3">
        <v>32</v>
      </c>
    </row>
    <row r="14" spans="1:14">
      <c r="B14" t="s">
        <v>30</v>
      </c>
      <c r="L14" s="3">
        <v>0</v>
      </c>
      <c r="M14" s="3">
        <v>0</v>
      </c>
    </row>
    <row r="15" spans="1:14">
      <c r="B15" t="s">
        <v>31</v>
      </c>
      <c r="L15" s="3">
        <v>-1</v>
      </c>
      <c r="M15" s="3">
        <v>1</v>
      </c>
    </row>
    <row r="16" spans="1:14">
      <c r="B16" t="s">
        <v>32</v>
      </c>
      <c r="L16" s="3">
        <v>20</v>
      </c>
      <c r="M16" s="3">
        <v>3</v>
      </c>
    </row>
    <row r="17" spans="2:13">
      <c r="B17" t="s">
        <v>33</v>
      </c>
      <c r="L17" s="3">
        <v>17</v>
      </c>
      <c r="M17" s="3">
        <v>45</v>
      </c>
    </row>
    <row r="18" spans="2:13">
      <c r="B18" t="s">
        <v>34</v>
      </c>
      <c r="L18" s="3">
        <f>SUM(L10:L17)</f>
        <v>435.6</v>
      </c>
      <c r="M18" s="3">
        <f>SUM(M10:M17)</f>
        <v>816</v>
      </c>
    </row>
    <row r="19" spans="2:13">
      <c r="B19" t="s">
        <v>35</v>
      </c>
      <c r="L19" s="3">
        <f>L9-L18</f>
        <v>597.4</v>
      </c>
      <c r="M19" s="3">
        <f>M9-M18</f>
        <v>292</v>
      </c>
    </row>
    <row r="20" spans="2:13">
      <c r="B20" t="s">
        <v>36</v>
      </c>
      <c r="L20" s="3">
        <f>+L5-L19</f>
        <v>-535.4</v>
      </c>
      <c r="M20" s="3">
        <f>+M5-M19</f>
        <v>-225</v>
      </c>
    </row>
    <row r="21" spans="2:13">
      <c r="B21" t="s">
        <v>37</v>
      </c>
      <c r="L21" s="3">
        <v>-1</v>
      </c>
      <c r="M21" s="3">
        <v>2</v>
      </c>
    </row>
    <row r="22" spans="2:13">
      <c r="B22" s="2" t="s">
        <v>38</v>
      </c>
      <c r="L22" s="3">
        <f>+L20-L21</f>
        <v>-534.4</v>
      </c>
      <c r="M22" s="3">
        <f>+M20-M21</f>
        <v>-227</v>
      </c>
    </row>
    <row r="23" spans="2:13">
      <c r="B23" t="s">
        <v>39</v>
      </c>
      <c r="L23" s="4">
        <f>+L22/L24</f>
        <v>-0.79999999999999993</v>
      </c>
      <c r="M23" s="4">
        <f>+M22/M24</f>
        <v>-0.33138686131386863</v>
      </c>
    </row>
    <row r="24" spans="2:13">
      <c r="B24" t="s">
        <v>1</v>
      </c>
      <c r="L24" s="3">
        <v>668</v>
      </c>
      <c r="M24" s="3">
        <v>685</v>
      </c>
    </row>
    <row r="26" spans="2:13">
      <c r="B26" t="s">
        <v>40</v>
      </c>
    </row>
    <row r="27" spans="2:13">
      <c r="B27" t="s">
        <v>41</v>
      </c>
      <c r="L27" s="3"/>
      <c r="M27" s="3"/>
    </row>
    <row r="28" spans="2:13">
      <c r="L28" s="3"/>
      <c r="M28" s="3"/>
    </row>
    <row r="29" spans="2:13">
      <c r="B29" t="s">
        <v>42</v>
      </c>
      <c r="L29" s="3">
        <v>5147</v>
      </c>
      <c r="M29" s="3">
        <v>5147</v>
      </c>
    </row>
    <row r="30" spans="2:13">
      <c r="B30" t="s">
        <v>43</v>
      </c>
      <c r="L30" s="3">
        <v>42497</v>
      </c>
      <c r="M30" s="3">
        <v>42497</v>
      </c>
    </row>
    <row r="31" spans="2:13">
      <c r="B31" t="s">
        <v>44</v>
      </c>
      <c r="L31" s="3">
        <v>2190</v>
      </c>
      <c r="M31" s="3">
        <v>2190</v>
      </c>
    </row>
    <row r="32" spans="2:13">
      <c r="B32" t="s">
        <v>45</v>
      </c>
      <c r="L32" s="3">
        <v>5091</v>
      </c>
      <c r="M32" s="3">
        <v>5091</v>
      </c>
    </row>
    <row r="33" spans="2:13">
      <c r="B33" t="s">
        <v>46</v>
      </c>
      <c r="L33" s="3">
        <v>512</v>
      </c>
      <c r="M33" s="3">
        <v>512</v>
      </c>
    </row>
    <row r="34" spans="2:13">
      <c r="B34" t="s">
        <v>47</v>
      </c>
      <c r="L34" s="3">
        <v>-10107</v>
      </c>
      <c r="M34" s="3">
        <v>-10107</v>
      </c>
    </row>
    <row r="35" spans="2:13">
      <c r="B35" t="s">
        <v>48</v>
      </c>
      <c r="L35" s="3">
        <v>1250</v>
      </c>
      <c r="M35" s="3">
        <v>1250</v>
      </c>
    </row>
    <row r="36" spans="2:13">
      <c r="B36" t="s">
        <v>49</v>
      </c>
      <c r="L36" s="3">
        <v>0</v>
      </c>
      <c r="M36" s="3">
        <v>0</v>
      </c>
    </row>
    <row r="37" spans="2:13">
      <c r="B37" t="s">
        <v>50</v>
      </c>
      <c r="L37" s="3">
        <v>1774</v>
      </c>
      <c r="M37" s="3">
        <v>1774</v>
      </c>
    </row>
    <row r="38" spans="2:13">
      <c r="B38" t="s">
        <v>51</v>
      </c>
      <c r="L38" s="3">
        <v>1836</v>
      </c>
      <c r="M38" s="3">
        <v>1836</v>
      </c>
    </row>
    <row r="39" spans="2:13">
      <c r="B39" t="s">
        <v>52</v>
      </c>
      <c r="L39" s="3">
        <v>6807</v>
      </c>
      <c r="M39" s="3">
        <v>6807</v>
      </c>
    </row>
    <row r="40" spans="2:13">
      <c r="B40" t="s">
        <v>53</v>
      </c>
      <c r="L40" s="3">
        <v>134</v>
      </c>
      <c r="M40" s="3">
        <v>134</v>
      </c>
    </row>
    <row r="41" spans="2:13">
      <c r="B41" t="s">
        <v>54</v>
      </c>
      <c r="L41" s="3">
        <v>2376</v>
      </c>
      <c r="M41" s="3">
        <v>2376</v>
      </c>
    </row>
    <row r="42" spans="2:13">
      <c r="B42" s="2" t="s">
        <v>55</v>
      </c>
      <c r="L42" s="3">
        <f>SUM(L29:L41)</f>
        <v>59507</v>
      </c>
      <c r="M42" s="3">
        <f>SUM(M29:M41)</f>
        <v>59507</v>
      </c>
    </row>
    <row r="43" spans="2:13">
      <c r="L43" s="3"/>
      <c r="M43" s="3"/>
    </row>
    <row r="44" spans="2:13">
      <c r="B44" t="s">
        <v>56</v>
      </c>
      <c r="L44" s="3">
        <v>14365</v>
      </c>
      <c r="M44" s="3">
        <v>14365</v>
      </c>
    </row>
    <row r="45" spans="2:13">
      <c r="B45" t="s">
        <v>57</v>
      </c>
      <c r="L45" s="3">
        <v>2487</v>
      </c>
      <c r="M45" s="3">
        <v>2487</v>
      </c>
    </row>
    <row r="46" spans="2:13">
      <c r="B46" t="s">
        <v>58</v>
      </c>
      <c r="L46" s="3">
        <v>1312</v>
      </c>
      <c r="M46" s="3">
        <v>1312</v>
      </c>
    </row>
    <row r="47" spans="2:13">
      <c r="B47" t="s">
        <v>59</v>
      </c>
      <c r="L47" s="3">
        <v>2028</v>
      </c>
      <c r="M47" s="3">
        <v>2028</v>
      </c>
    </row>
    <row r="48" spans="2:13">
      <c r="B48" t="s">
        <v>60</v>
      </c>
      <c r="L48" s="3">
        <v>39028</v>
      </c>
      <c r="M48" s="3">
        <v>39028</v>
      </c>
    </row>
    <row r="49" spans="2:13">
      <c r="B49" t="s">
        <v>61</v>
      </c>
      <c r="L49" s="3">
        <f>SUM(L44:L48)</f>
        <v>59220</v>
      </c>
      <c r="M49" s="3">
        <f>SUM(M44:M48)</f>
        <v>59220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2025-12-14T00:52:10Z</dcterms:created>
  <dcterms:modified xsi:type="dcterms:W3CDTF">2025-12-14T03:11:18Z</dcterms:modified>
  <cp:category/>
  <cp:contentStatus/>
</cp:coreProperties>
</file>