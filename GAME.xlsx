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436" documentId="11_0B1D56BE9CDCCE836B02CE7A5FB0D4A9BBFD1C62" xr6:coauthVersionLast="47" xr6:coauthVersionMax="47" xr10:uidLastSave="{4271CCD2-EF9C-4486-9F6F-FF35CC306DCD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2" l="1"/>
  <c r="E48" i="2"/>
  <c r="E47" i="2"/>
  <c r="E30" i="2"/>
  <c r="E43" i="2" s="1"/>
  <c r="E18" i="2"/>
  <c r="E28" i="2"/>
  <c r="E6" i="2"/>
  <c r="E11" i="2" s="1"/>
  <c r="K24" i="2"/>
  <c r="J24" i="2"/>
  <c r="I24" i="2"/>
  <c r="H24" i="2"/>
  <c r="G24" i="2"/>
  <c r="L24" i="2"/>
  <c r="J49" i="2"/>
  <c r="J48" i="2"/>
  <c r="J47" i="2"/>
  <c r="J30" i="2"/>
  <c r="J20" i="2"/>
  <c r="J16" i="2"/>
  <c r="J15" i="2"/>
  <c r="J14" i="2"/>
  <c r="J13" i="2"/>
  <c r="J12" i="2"/>
  <c r="J9" i="2"/>
  <c r="J8" i="2"/>
  <c r="J7" i="2"/>
  <c r="J5" i="2"/>
  <c r="J4" i="2"/>
  <c r="J3" i="2"/>
  <c r="J43" i="2"/>
  <c r="J18" i="2"/>
  <c r="J10" i="2"/>
  <c r="J28" i="2" s="1"/>
  <c r="J6" i="2"/>
  <c r="J11" i="2" s="1"/>
  <c r="G49" i="2"/>
  <c r="G48" i="2"/>
  <c r="G47" i="2"/>
  <c r="G30" i="2"/>
  <c r="G10" i="2"/>
  <c r="G43" i="2"/>
  <c r="G18" i="2"/>
  <c r="G28" i="2"/>
  <c r="G6" i="2"/>
  <c r="G11" i="2" s="1"/>
  <c r="H49" i="2"/>
  <c r="H48" i="2"/>
  <c r="H47" i="2"/>
  <c r="H30" i="2"/>
  <c r="H43" i="2"/>
  <c r="H18" i="2"/>
  <c r="H10" i="2"/>
  <c r="H28" i="2" s="1"/>
  <c r="H6" i="2"/>
  <c r="H11" i="2" s="1"/>
  <c r="I49" i="2"/>
  <c r="I48" i="2"/>
  <c r="I47" i="2"/>
  <c r="I30" i="2"/>
  <c r="I43" i="2"/>
  <c r="I18" i="2"/>
  <c r="I10" i="2"/>
  <c r="I28" i="2" s="1"/>
  <c r="I6" i="2"/>
  <c r="I11" i="2" s="1"/>
  <c r="L30" i="2"/>
  <c r="K50" i="2"/>
  <c r="K49" i="2"/>
  <c r="K48" i="2"/>
  <c r="K47" i="2"/>
  <c r="K30" i="2"/>
  <c r="L50" i="2"/>
  <c r="L49" i="2"/>
  <c r="L48" i="2"/>
  <c r="L47" i="2"/>
  <c r="K43" i="2"/>
  <c r="L43" i="2"/>
  <c r="K18" i="2"/>
  <c r="K10" i="2"/>
  <c r="K28" i="2" s="1"/>
  <c r="K6" i="2"/>
  <c r="K11" i="2" s="1"/>
  <c r="L18" i="2"/>
  <c r="L10" i="2"/>
  <c r="L28" i="2" s="1"/>
  <c r="L6" i="2"/>
  <c r="L11" i="2" s="1"/>
  <c r="J5" i="1"/>
  <c r="E27" i="2" l="1"/>
  <c r="E19" i="2"/>
  <c r="E21" i="2" s="1"/>
  <c r="E23" i="2" s="1"/>
  <c r="E24" i="2" s="1"/>
  <c r="E51" i="2"/>
  <c r="E52" i="2" s="1"/>
  <c r="J27" i="2"/>
  <c r="J19" i="2"/>
  <c r="J21" i="2" s="1"/>
  <c r="J23" i="2" s="1"/>
  <c r="J51" i="2"/>
  <c r="J52" i="2" s="1"/>
  <c r="G27" i="2"/>
  <c r="G19" i="2"/>
  <c r="G21" i="2" s="1"/>
  <c r="G23" i="2" s="1"/>
  <c r="G51" i="2"/>
  <c r="G52" i="2" s="1"/>
  <c r="H27" i="2"/>
  <c r="H19" i="2"/>
  <c r="H21" i="2" s="1"/>
  <c r="H23" i="2" s="1"/>
  <c r="H51" i="2"/>
  <c r="H52" i="2" s="1"/>
  <c r="I27" i="2"/>
  <c r="I19" i="2"/>
  <c r="I21" i="2" s="1"/>
  <c r="I23" i="2" s="1"/>
  <c r="I51" i="2"/>
  <c r="I52" i="2" s="1"/>
  <c r="L51" i="2"/>
  <c r="L52" i="2" s="1"/>
  <c r="K51" i="2"/>
  <c r="K52" i="2" s="1"/>
  <c r="L19" i="2"/>
  <c r="L21" i="2" s="1"/>
  <c r="L23" i="2" s="1"/>
  <c r="L27" i="2"/>
  <c r="K27" i="2"/>
  <c r="K19" i="2"/>
  <c r="K21" i="2" s="1"/>
  <c r="K23" i="2" s="1"/>
</calcChain>
</file>

<file path=xl/sharedStrings.xml><?xml version="1.0" encoding="utf-8"?>
<sst xmlns="http://schemas.openxmlformats.org/spreadsheetml/2006/main" count="65" uniqueCount="60">
  <si>
    <t>GAMESQUARE</t>
  </si>
  <si>
    <t>Price</t>
  </si>
  <si>
    <t>Shares</t>
  </si>
  <si>
    <t>MC</t>
  </si>
  <si>
    <t>Cash</t>
  </si>
  <si>
    <t>Debt</t>
  </si>
  <si>
    <t>EV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</si>
  <si>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</si>
  <si>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</si>
  <si>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</si>
  <si>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</si>
  <si>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</si>
  <si>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</si>
  <si>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</si>
  <si>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</si>
  <si>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</si>
  <si>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</si>
  <si>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</si>
  <si>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Teams</t>
  </si>
  <si>
    <t>Agency</t>
  </si>
  <si>
    <t>Saas + Advertising</t>
  </si>
  <si>
    <t>Revenue</t>
  </si>
  <si>
    <t>COGS</t>
  </si>
  <si>
    <t>Gross Profit</t>
  </si>
  <si>
    <t>G&amp;A</t>
  </si>
  <si>
    <t>Sales and Marketing</t>
  </si>
  <si>
    <t>R&amp;D</t>
  </si>
  <si>
    <t>D&amp;A</t>
  </si>
  <si>
    <t>Restructuring Charges</t>
  </si>
  <si>
    <t>Other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</si>
  <si>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</si>
  <si>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</si>
  <si>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</si>
  <si>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</si>
  <si>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</si>
  <si>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</si>
  <si>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</si>
  <si>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Growth y/y</t>
  </si>
  <si>
    <t>Gross Margin</t>
  </si>
  <si>
    <t>AR</t>
  </si>
  <si>
    <t>Government Remittances</t>
  </si>
  <si>
    <t>Contingent Consideration</t>
  </si>
  <si>
    <t>Promissory notes receivable</t>
  </si>
  <si>
    <t>Prepaid Expenses</t>
  </si>
  <si>
    <t>Investment</t>
  </si>
  <si>
    <t>Non Current Contigent Consideration</t>
  </si>
  <si>
    <t>NC PNR</t>
  </si>
  <si>
    <t>PP&amp;E</t>
  </si>
  <si>
    <t>Goodwill</t>
  </si>
  <si>
    <t>Intangible Assets</t>
  </si>
  <si>
    <t>ROU</t>
  </si>
  <si>
    <t>Assets</t>
  </si>
  <si>
    <t>AP</t>
  </si>
  <si>
    <t>Accrued Expenses</t>
  </si>
  <si>
    <t>Short Term Debt</t>
  </si>
  <si>
    <t>Convertibles</t>
  </si>
  <si>
    <t>OCL</t>
  </si>
  <si>
    <t>Long Term Liability</t>
  </si>
  <si>
    <t>SE</t>
  </si>
  <si>
    <t>L+SE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</si>
</sst>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2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J8"/>
  <sheetViews>
    <sheetView workbookViewId="0">
      <selection activeCell="E3" sqref="E3"/>
    </sheetView>
  </sheetViews>
  <sheetFormatPr defaultRowHeight="15"/>
  <sheetData>
    <row r="2" spans="5:10">
      <c r="E2" t="s">
        <v>0</v>
      </c>
    </row>
    <row r="3" spans="5:10">
      <c r="I3" t="s">
        <v>1</v>
      </c>
      <c r="J3">
        <v>0.7</v>
      </c>
    </row>
    <row r="4" spans="5:10">
      <c r="I4" t="s">
        <v>2</v>
      </c>
      <c r="J4">
        <v>98</v>
      </c>
    </row>
    <row r="5" spans="5:10">
      <c r="I5" t="s">
        <v>3</v>
      </c>
      <c r="J5">
        <f>+J3*J4</f>
        <v>68.599999999999994</v>
      </c>
    </row>
    <row r="6" spans="5:10">
      <c r="I6" t="s">
        <v>4</v>
      </c>
    </row>
    <row r="7" spans="5:10">
      <c r="I7" t="s">
        <v>5</v>
      </c>
    </row>
    <row r="8" spans="5:10">
      <c r="I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37EB-388C-4B42-B69B-0D0D3C56C033}">
  <dimension ref="A1:M66"/>
  <sheetViews>
    <sheetView tabSelected="1" workbookViewId="0">
      <pane xSplit="2" ySplit="2" topLeftCell="C3" activePane="bottomRight" state="frozen"/>
      <selection pane="bottomRight" activeCell="E12" sqref="E12"/>
      <selection pane="bottomLeft"/>
      <selection pane="topRight"/>
    </sheetView>
  </sheetViews>
  <sheetFormatPr defaultRowHeight="15"/>
  <cols>
    <col min="2" max="2" width="25.7109375" bestFit="1" customWidth="1"/>
    <col min="3" max="3" width="5.85546875" bestFit="1" customWidth="1"/>
    <col min="12" max="12" width="9.28515625" bestFit="1" customWidth="1"/>
  </cols>
  <sheetData>
    <row r="1" spans="1:13">
      <c r="A1" t="s">
        <v>7</v>
      </c>
    </row>
    <row r="2" spans="1:13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2" t="s">
        <v>15</v>
      </c>
      <c r="K2" s="1" t="s">
        <v>16</v>
      </c>
      <c r="L2" s="1" t="s">
        <v>17</v>
      </c>
    </row>
    <row r="3" spans="1:13">
      <c r="B3" t="s">
        <v>18</v>
      </c>
      <c r="E3" s="4">
        <v>4543</v>
      </c>
      <c r="G3" s="4">
        <v>2563</v>
      </c>
      <c r="H3" s="4">
        <v>13278</v>
      </c>
      <c r="I3" s="4">
        <v>9412</v>
      </c>
      <c r="J3" s="4">
        <f>32026-G3-H3-I3</f>
        <v>6773</v>
      </c>
      <c r="K3" s="4">
        <v>9466</v>
      </c>
      <c r="L3" s="4">
        <v>1806</v>
      </c>
      <c r="M3" s="4"/>
    </row>
    <row r="4" spans="1:13">
      <c r="B4" t="s">
        <v>19</v>
      </c>
      <c r="E4" s="4">
        <v>9170</v>
      </c>
      <c r="G4" s="4">
        <v>2943</v>
      </c>
      <c r="H4" s="4">
        <v>2037</v>
      </c>
      <c r="I4" s="4">
        <v>3310</v>
      </c>
      <c r="J4" s="4">
        <f>12090-G4-H4-I4</f>
        <v>3800</v>
      </c>
      <c r="K4" s="4">
        <v>2300</v>
      </c>
      <c r="L4" s="4">
        <v>2207</v>
      </c>
      <c r="M4" s="4"/>
    </row>
    <row r="5" spans="1:13">
      <c r="B5" t="s">
        <v>20</v>
      </c>
      <c r="E5" s="4">
        <v>2331</v>
      </c>
      <c r="G5" s="4">
        <v>12222</v>
      </c>
      <c r="H5" s="4">
        <v>13271</v>
      </c>
      <c r="I5" s="4">
        <v>13690</v>
      </c>
      <c r="J5" s="4">
        <f>52082-G5-H5-I5</f>
        <v>12899</v>
      </c>
      <c r="K5" s="4">
        <v>9342</v>
      </c>
      <c r="L5" s="4">
        <v>11840</v>
      </c>
      <c r="M5" s="4"/>
    </row>
    <row r="6" spans="1:13" s="3" customFormat="1">
      <c r="B6" s="3" t="s">
        <v>21</v>
      </c>
      <c r="E6" s="5">
        <f>SUM(E3:E5)</f>
        <v>16044</v>
      </c>
      <c r="G6" s="5">
        <f>SUM(G3:G5)</f>
        <v>17728</v>
      </c>
      <c r="H6" s="5">
        <f>SUM(H3:H5)</f>
        <v>28586</v>
      </c>
      <c r="I6" s="5">
        <f>SUM(I3:I5)</f>
        <v>26412</v>
      </c>
      <c r="J6" s="5">
        <f>SUM(J3:J5)</f>
        <v>23472</v>
      </c>
      <c r="K6" s="5">
        <f>SUM(K3:K5)</f>
        <v>21108</v>
      </c>
      <c r="L6" s="5">
        <f>SUM(L3:L5)</f>
        <v>15853</v>
      </c>
      <c r="M6" s="5"/>
    </row>
    <row r="7" spans="1:13">
      <c r="B7" t="s">
        <v>18</v>
      </c>
      <c r="E7" s="4">
        <v>0</v>
      </c>
      <c r="G7" s="4">
        <v>1582</v>
      </c>
      <c r="H7" s="4">
        <v>10951</v>
      </c>
      <c r="I7" s="4">
        <v>7431</v>
      </c>
      <c r="J7" s="4">
        <f>26423-G7-H7-I7</f>
        <v>6459</v>
      </c>
      <c r="K7" s="4">
        <v>8161</v>
      </c>
      <c r="L7" s="4">
        <v>1735</v>
      </c>
      <c r="M7" s="4"/>
    </row>
    <row r="8" spans="1:13">
      <c r="B8" t="s">
        <v>19</v>
      </c>
      <c r="E8" s="4">
        <v>0</v>
      </c>
      <c r="G8" s="4">
        <v>2411</v>
      </c>
      <c r="H8" s="4">
        <v>1822</v>
      </c>
      <c r="I8" s="4">
        <v>1509</v>
      </c>
      <c r="J8" s="4">
        <f>8901-G8-H8-I8</f>
        <v>3159</v>
      </c>
      <c r="K8" s="4">
        <v>1481</v>
      </c>
      <c r="L8" s="4">
        <v>2065</v>
      </c>
      <c r="M8" s="4"/>
    </row>
    <row r="9" spans="1:13">
      <c r="B9" t="s">
        <v>20</v>
      </c>
      <c r="E9" s="4">
        <v>0</v>
      </c>
      <c r="G9" s="4">
        <v>10342</v>
      </c>
      <c r="H9" s="4">
        <v>11581</v>
      </c>
      <c r="I9" s="4">
        <v>12230</v>
      </c>
      <c r="J9" s="4">
        <f>45601-G9-H9-I9</f>
        <v>11448</v>
      </c>
      <c r="K9" s="4">
        <v>9342</v>
      </c>
      <c r="L9" s="4">
        <v>9627</v>
      </c>
      <c r="M9" s="4"/>
    </row>
    <row r="10" spans="1:13" s="3" customFormat="1">
      <c r="B10" s="3" t="s">
        <v>22</v>
      </c>
      <c r="E10" s="5">
        <v>11641</v>
      </c>
      <c r="G10" s="5">
        <f>SUM(G7:G9)</f>
        <v>14335</v>
      </c>
      <c r="H10" s="5">
        <f>SUM(H7:H9)</f>
        <v>24354</v>
      </c>
      <c r="I10" s="5">
        <f>SUM(I7:I9)</f>
        <v>21170</v>
      </c>
      <c r="J10" s="5">
        <f>SUM(J7:J9)</f>
        <v>21066</v>
      </c>
      <c r="K10" s="5">
        <f>SUM(K7:K9)</f>
        <v>18984</v>
      </c>
      <c r="L10" s="5">
        <f>SUM(L7:L9)</f>
        <v>13427</v>
      </c>
      <c r="M10" s="5"/>
    </row>
    <row r="11" spans="1:13" s="3" customFormat="1">
      <c r="B11" s="3" t="s">
        <v>23</v>
      </c>
      <c r="E11" s="5">
        <f>+E6-E10</f>
        <v>4403</v>
      </c>
      <c r="G11" s="5">
        <f>+G6-G10</f>
        <v>3393</v>
      </c>
      <c r="H11" s="5">
        <f>+H6-H10</f>
        <v>4232</v>
      </c>
      <c r="I11" s="5">
        <f>+I6-I10</f>
        <v>5242</v>
      </c>
      <c r="J11" s="5">
        <f>+J6-J10</f>
        <v>2406</v>
      </c>
      <c r="K11" s="5">
        <f>+K6-K10</f>
        <v>2124</v>
      </c>
      <c r="L11" s="5">
        <f>+L6-L10</f>
        <v>2426</v>
      </c>
      <c r="M11" s="5"/>
    </row>
    <row r="12" spans="1:13">
      <c r="B12" t="s">
        <v>24</v>
      </c>
      <c r="E12" s="4">
        <v>4</v>
      </c>
      <c r="G12" s="4">
        <v>4919</v>
      </c>
      <c r="H12" s="4">
        <v>7135</v>
      </c>
      <c r="I12" s="4">
        <v>6181</v>
      </c>
      <c r="J12" s="4">
        <f>25074-G12-H12-I12</f>
        <v>6839</v>
      </c>
      <c r="K12" s="4">
        <v>5757</v>
      </c>
      <c r="L12" s="4">
        <v>4076</v>
      </c>
      <c r="M12" s="4"/>
    </row>
    <row r="13" spans="1:13">
      <c r="B13" t="s">
        <v>25</v>
      </c>
      <c r="E13" s="4">
        <v>2222</v>
      </c>
      <c r="G13" s="4">
        <v>2222</v>
      </c>
      <c r="H13" s="4">
        <v>2433</v>
      </c>
      <c r="I13" s="4">
        <v>2202</v>
      </c>
      <c r="J13" s="4">
        <f>9131-G13-H13-I13</f>
        <v>2274</v>
      </c>
      <c r="K13" s="4">
        <v>2023</v>
      </c>
      <c r="L13" s="4">
        <v>1497</v>
      </c>
      <c r="M13" s="4"/>
    </row>
    <row r="14" spans="1:13">
      <c r="B14" t="s">
        <v>26</v>
      </c>
      <c r="E14" s="4">
        <v>685</v>
      </c>
      <c r="G14" s="4">
        <v>685</v>
      </c>
      <c r="H14" s="4">
        <v>882</v>
      </c>
      <c r="I14" s="4">
        <v>804</v>
      </c>
      <c r="J14" s="4">
        <f>3248-G14-H14-I14</f>
        <v>877</v>
      </c>
      <c r="K14" s="4">
        <v>768</v>
      </c>
      <c r="L14" s="4">
        <v>557</v>
      </c>
      <c r="M14" s="4"/>
    </row>
    <row r="15" spans="1:13">
      <c r="B15" t="s">
        <v>27</v>
      </c>
      <c r="E15" s="4">
        <v>755</v>
      </c>
      <c r="G15" s="4">
        <v>755</v>
      </c>
      <c r="H15" s="4">
        <v>955</v>
      </c>
      <c r="I15" s="4">
        <v>804</v>
      </c>
      <c r="J15" s="4">
        <f>3237-G15-H15-I15</f>
        <v>723</v>
      </c>
      <c r="K15" s="4">
        <v>582</v>
      </c>
      <c r="L15" s="4">
        <v>302</v>
      </c>
      <c r="M15" s="4"/>
    </row>
    <row r="16" spans="1:13">
      <c r="B16" t="s">
        <v>28</v>
      </c>
      <c r="E16" s="4">
        <v>0</v>
      </c>
      <c r="G16" s="4">
        <v>0</v>
      </c>
      <c r="H16" s="4">
        <v>124</v>
      </c>
      <c r="I16" s="4">
        <v>383</v>
      </c>
      <c r="J16" s="4">
        <f>1335-G16-H16-I16</f>
        <v>828</v>
      </c>
      <c r="K16" s="4">
        <v>578</v>
      </c>
      <c r="L16" s="4">
        <v>165</v>
      </c>
      <c r="M16" s="4"/>
    </row>
    <row r="17" spans="2:13">
      <c r="B17" t="s">
        <v>29</v>
      </c>
      <c r="E17" s="4">
        <v>1093</v>
      </c>
      <c r="G17" s="4">
        <v>1093</v>
      </c>
      <c r="H17" s="4">
        <v>995</v>
      </c>
      <c r="I17" s="4">
        <v>1287</v>
      </c>
      <c r="J17" s="4">
        <v>745</v>
      </c>
      <c r="K17" s="4">
        <v>745</v>
      </c>
      <c r="L17" s="4">
        <v>547</v>
      </c>
      <c r="M17" s="4"/>
    </row>
    <row r="18" spans="2:13" s="3" customFormat="1">
      <c r="B18" s="3" t="s">
        <v>30</v>
      </c>
      <c r="E18" s="5">
        <f>SUM(E12:E17)</f>
        <v>4759</v>
      </c>
      <c r="G18" s="5">
        <f>SUM(G12:G17)</f>
        <v>9674</v>
      </c>
      <c r="H18" s="5">
        <f>SUM(H12:H17)</f>
        <v>12524</v>
      </c>
      <c r="I18" s="5">
        <f>SUM(I12:I17)</f>
        <v>11661</v>
      </c>
      <c r="J18" s="5">
        <f>SUM(J12:J17)</f>
        <v>12286</v>
      </c>
      <c r="K18" s="5">
        <f>SUM(K12:K17)</f>
        <v>10453</v>
      </c>
      <c r="L18" s="5">
        <f>SUM(L12:L17)</f>
        <v>7144</v>
      </c>
      <c r="M18" s="5"/>
    </row>
    <row r="19" spans="2:13" s="3" customFormat="1">
      <c r="B19" s="3" t="s">
        <v>31</v>
      </c>
      <c r="E19" s="5">
        <f>+E11-E18</f>
        <v>-356</v>
      </c>
      <c r="G19" s="5">
        <f>+G11-G18</f>
        <v>-6281</v>
      </c>
      <c r="H19" s="5">
        <f>+H11-H18</f>
        <v>-8292</v>
      </c>
      <c r="I19" s="5">
        <f>+I11-I18</f>
        <v>-6419</v>
      </c>
      <c r="J19" s="5">
        <f>+J11-J18</f>
        <v>-9880</v>
      </c>
      <c r="K19" s="5">
        <f>+K11-K18</f>
        <v>-8329</v>
      </c>
      <c r="L19" s="5">
        <f>+L11-L18</f>
        <v>-4718</v>
      </c>
      <c r="M19" s="5"/>
    </row>
    <row r="20" spans="2:13">
      <c r="B20" t="s">
        <v>32</v>
      </c>
      <c r="E20" s="4">
        <v>435</v>
      </c>
      <c r="G20" s="4">
        <v>435</v>
      </c>
      <c r="H20" s="4">
        <v>192</v>
      </c>
      <c r="I20" s="4">
        <v>54</v>
      </c>
      <c r="J20" s="4">
        <f>559-54-124-104</f>
        <v>277</v>
      </c>
      <c r="K20" s="4">
        <v>50</v>
      </c>
      <c r="L20" s="4">
        <v>45</v>
      </c>
      <c r="M20" s="4"/>
    </row>
    <row r="21" spans="2:13">
      <c r="B21" t="s">
        <v>33</v>
      </c>
      <c r="E21" s="4">
        <f>+E20-E19</f>
        <v>791</v>
      </c>
      <c r="G21" s="4">
        <f>+G20-G19</f>
        <v>6716</v>
      </c>
      <c r="H21" s="4">
        <f>+H20-H19</f>
        <v>8484</v>
      </c>
      <c r="I21" s="4">
        <f>+I20-I19</f>
        <v>6473</v>
      </c>
      <c r="J21" s="4">
        <f>+J20-J19</f>
        <v>10157</v>
      </c>
      <c r="K21" s="4">
        <f>+K20-K19</f>
        <v>8379</v>
      </c>
      <c r="L21" s="4">
        <f>+L20-L19</f>
        <v>4763</v>
      </c>
      <c r="M21" s="4"/>
    </row>
    <row r="22" spans="2:13">
      <c r="B22" t="s">
        <v>34</v>
      </c>
      <c r="E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/>
    </row>
    <row r="23" spans="2:13">
      <c r="B23" t="s">
        <v>35</v>
      </c>
      <c r="E23" s="4">
        <f>+E21-E22</f>
        <v>791</v>
      </c>
      <c r="G23" s="4">
        <f>+G21-G22</f>
        <v>6716</v>
      </c>
      <c r="H23" s="4">
        <f>+H21-H22</f>
        <v>8484</v>
      </c>
      <c r="I23" s="4">
        <f>+I21-I22</f>
        <v>6473</v>
      </c>
      <c r="J23" s="4">
        <f>+J21-J22</f>
        <v>10157</v>
      </c>
      <c r="K23" s="4">
        <f>+K21-K22</f>
        <v>8379</v>
      </c>
      <c r="L23" s="4">
        <f>+L21-L22</f>
        <v>4763</v>
      </c>
      <c r="M23" s="4"/>
    </row>
    <row r="24" spans="2:13" s="3" customFormat="1">
      <c r="B24" s="3" t="s">
        <v>36</v>
      </c>
      <c r="E24" s="6">
        <f t="shared" ref="E24:K24" si="0">+E23/(E25*1000)</f>
        <v>4.6529411764705882E-2</v>
      </c>
      <c r="G24" s="6">
        <f t="shared" si="0"/>
        <v>0.39505882352941174</v>
      </c>
      <c r="H24" s="6">
        <f t="shared" si="0"/>
        <v>0.2828</v>
      </c>
      <c r="I24" s="6">
        <f t="shared" si="0"/>
        <v>0.20880645161290323</v>
      </c>
      <c r="J24" s="6">
        <f t="shared" si="0"/>
        <v>0.36275000000000002</v>
      </c>
      <c r="K24" s="6">
        <f t="shared" si="0"/>
        <v>0.22645945945945947</v>
      </c>
      <c r="L24" s="6">
        <f>+L23/(L25*1000)</f>
        <v>0.12212820512820513</v>
      </c>
      <c r="M24" s="5"/>
    </row>
    <row r="25" spans="2:13">
      <c r="B25" t="s">
        <v>2</v>
      </c>
      <c r="E25" s="7">
        <v>17</v>
      </c>
      <c r="G25" s="7">
        <v>17</v>
      </c>
      <c r="H25" s="7">
        <v>30</v>
      </c>
      <c r="I25" s="7">
        <v>31</v>
      </c>
      <c r="J25" s="7">
        <v>28</v>
      </c>
      <c r="K25" s="7">
        <v>37</v>
      </c>
      <c r="L25" s="7">
        <v>39</v>
      </c>
      <c r="M25" s="4"/>
    </row>
    <row r="26" spans="2:13">
      <c r="E26" s="8"/>
      <c r="G26" s="8"/>
      <c r="H26" s="8"/>
      <c r="I26" s="8"/>
      <c r="J26" s="8"/>
      <c r="K26" s="8"/>
      <c r="L26" s="8"/>
      <c r="M26" s="4"/>
    </row>
    <row r="27" spans="2:13" s="3" customFormat="1">
      <c r="B27" s="3" t="s">
        <v>37</v>
      </c>
      <c r="E27" s="8" t="e">
        <f>+E11/A11-1</f>
        <v>#DIV/0!</v>
      </c>
      <c r="G27" s="8" t="e">
        <f>+G11/C11-1</f>
        <v>#DIV/0!</v>
      </c>
      <c r="H27" s="8" t="e">
        <f>+H11/D11-1</f>
        <v>#DIV/0!</v>
      </c>
      <c r="I27" s="8">
        <f>+I11/E11-1</f>
        <v>0.19055189643424941</v>
      </c>
      <c r="J27" s="8" t="e">
        <f>+J11/F11-1</f>
        <v>#DIV/0!</v>
      </c>
      <c r="K27" s="8">
        <f>+K11/G11-1</f>
        <v>-0.37400530503978779</v>
      </c>
      <c r="L27" s="8">
        <f>+L11/H11-1</f>
        <v>-0.42674858223062384</v>
      </c>
      <c r="M27" s="5"/>
    </row>
    <row r="28" spans="2:13" s="3" customFormat="1">
      <c r="B28" s="3" t="s">
        <v>38</v>
      </c>
      <c r="E28" s="8">
        <f t="shared" ref="E28:G28" si="1">+E14/E10</f>
        <v>5.8843741946568162E-2</v>
      </c>
      <c r="G28" s="8">
        <f t="shared" si="1"/>
        <v>4.7785141262643882E-2</v>
      </c>
      <c r="H28" s="8">
        <f t="shared" ref="H28:J28" si="2">+H14/H10</f>
        <v>3.6215816703621583E-2</v>
      </c>
      <c r="I28" s="8">
        <f t="shared" si="2"/>
        <v>3.7978271138403401E-2</v>
      </c>
      <c r="J28" s="8">
        <f t="shared" si="2"/>
        <v>4.1631064274185892E-2</v>
      </c>
      <c r="K28" s="8">
        <f t="shared" ref="K28:L28" si="3">+K14/K10</f>
        <v>4.0455120101137804E-2</v>
      </c>
      <c r="L28" s="8">
        <f t="shared" si="3"/>
        <v>4.1483577865494899E-2</v>
      </c>
      <c r="M28" s="5"/>
    </row>
    <row r="29" spans="2:13">
      <c r="E29" s="9"/>
      <c r="G29" s="9"/>
      <c r="H29" s="9"/>
      <c r="I29" s="9"/>
      <c r="J29" s="9"/>
      <c r="K29" s="9"/>
      <c r="L29" s="9"/>
      <c r="M29" s="4"/>
    </row>
    <row r="30" spans="2:13">
      <c r="B30" t="s">
        <v>4</v>
      </c>
      <c r="E30" s="9">
        <f>7174+648</f>
        <v>7822</v>
      </c>
      <c r="G30" s="9">
        <f>7174+648</f>
        <v>7822</v>
      </c>
      <c r="H30" s="9">
        <f>13895+648</f>
        <v>14543</v>
      </c>
      <c r="I30" s="9">
        <f>11199+0</f>
        <v>11199</v>
      </c>
      <c r="J30" s="9">
        <f>12094+1054</f>
        <v>13148</v>
      </c>
      <c r="K30" s="9">
        <f>4675+1137</f>
        <v>5812</v>
      </c>
      <c r="L30" s="9">
        <f>4698+1790</f>
        <v>6488</v>
      </c>
      <c r="M30" s="4"/>
    </row>
    <row r="31" spans="2:13">
      <c r="B31" t="s">
        <v>39</v>
      </c>
      <c r="E31" s="9">
        <v>25844</v>
      </c>
      <c r="G31" s="9">
        <v>25844</v>
      </c>
      <c r="H31" s="9">
        <v>27218</v>
      </c>
      <c r="I31" s="9">
        <v>25560</v>
      </c>
      <c r="J31" s="9">
        <v>21331</v>
      </c>
      <c r="K31" s="9">
        <v>18305</v>
      </c>
      <c r="L31" s="9">
        <v>12954</v>
      </c>
      <c r="M31" s="4"/>
    </row>
    <row r="32" spans="2:13">
      <c r="B32" t="s">
        <v>40</v>
      </c>
      <c r="E32" s="9">
        <v>1347</v>
      </c>
      <c r="G32" s="9">
        <v>1347</v>
      </c>
      <c r="H32" s="9">
        <v>1275</v>
      </c>
      <c r="I32" s="9">
        <v>1311</v>
      </c>
      <c r="J32" s="9">
        <v>120</v>
      </c>
      <c r="K32" s="9">
        <v>150</v>
      </c>
      <c r="L32" s="9">
        <v>122</v>
      </c>
      <c r="M32" s="4"/>
    </row>
    <row r="33" spans="2:13">
      <c r="B33" t="s">
        <v>41</v>
      </c>
      <c r="E33" s="9">
        <v>208</v>
      </c>
      <c r="G33" s="9">
        <v>208</v>
      </c>
      <c r="H33" s="9">
        <v>293</v>
      </c>
      <c r="I33" s="9">
        <v>293</v>
      </c>
      <c r="J33" s="9">
        <v>303</v>
      </c>
      <c r="K33" s="9">
        <v>0</v>
      </c>
      <c r="L33" s="9">
        <v>0</v>
      </c>
      <c r="M33" s="4"/>
    </row>
    <row r="34" spans="2:13">
      <c r="B34" t="s">
        <v>42</v>
      </c>
      <c r="E34" s="9">
        <v>0</v>
      </c>
      <c r="G34" s="9">
        <v>0</v>
      </c>
      <c r="H34" s="9">
        <v>379</v>
      </c>
      <c r="I34" s="9">
        <v>341</v>
      </c>
      <c r="J34" s="9">
        <v>9213</v>
      </c>
      <c r="K34" s="9">
        <v>476</v>
      </c>
      <c r="L34" s="9">
        <v>176</v>
      </c>
      <c r="M34" s="4"/>
    </row>
    <row r="35" spans="2:13">
      <c r="B35" t="s">
        <v>43</v>
      </c>
      <c r="E35" s="9">
        <v>2996</v>
      </c>
      <c r="G35" s="9">
        <v>2996</v>
      </c>
      <c r="H35" s="9">
        <v>2738</v>
      </c>
      <c r="I35" s="9">
        <v>3047</v>
      </c>
      <c r="J35" s="9">
        <v>1494</v>
      </c>
      <c r="K35" s="9">
        <v>1060</v>
      </c>
      <c r="L35" s="9">
        <v>884</v>
      </c>
      <c r="M35" s="4"/>
    </row>
    <row r="36" spans="2:13">
      <c r="B36" t="s">
        <v>44</v>
      </c>
      <c r="E36" s="9">
        <v>2673</v>
      </c>
      <c r="G36" s="9">
        <v>2673</v>
      </c>
      <c r="H36" s="9">
        <v>2673</v>
      </c>
      <c r="I36" s="9">
        <v>2673</v>
      </c>
      <c r="J36" s="9">
        <v>2200</v>
      </c>
      <c r="K36" s="9">
        <v>2200</v>
      </c>
      <c r="L36" s="9">
        <v>2120</v>
      </c>
      <c r="M36" s="4"/>
    </row>
    <row r="37" spans="2:13">
      <c r="B37" t="s">
        <v>45</v>
      </c>
      <c r="E37" s="9">
        <v>293</v>
      </c>
      <c r="G37" s="9">
        <v>293</v>
      </c>
      <c r="H37" s="9">
        <v>0</v>
      </c>
      <c r="I37" s="9">
        <v>0</v>
      </c>
      <c r="J37" s="9">
        <v>0</v>
      </c>
      <c r="K37" s="9"/>
      <c r="L37" s="9"/>
      <c r="M37" s="4"/>
    </row>
    <row r="38" spans="2:13">
      <c r="B38" s="10" t="s">
        <v>46</v>
      </c>
      <c r="E38" s="9">
        <v>7126</v>
      </c>
      <c r="G38" s="9">
        <v>7126</v>
      </c>
      <c r="H38" s="9">
        <v>8754</v>
      </c>
      <c r="I38" s="9">
        <v>8987</v>
      </c>
      <c r="J38" s="9">
        <v>0</v>
      </c>
      <c r="K38" s="9"/>
      <c r="L38" s="9"/>
      <c r="M38" s="4"/>
    </row>
    <row r="39" spans="2:13">
      <c r="B39" t="s">
        <v>47</v>
      </c>
      <c r="E39" s="9">
        <v>796</v>
      </c>
      <c r="G39" s="9">
        <v>796</v>
      </c>
      <c r="H39" s="9">
        <v>618</v>
      </c>
      <c r="I39" s="9">
        <v>455</v>
      </c>
      <c r="J39" s="9">
        <v>304</v>
      </c>
      <c r="K39" s="9">
        <v>267</v>
      </c>
      <c r="L39" s="9">
        <v>119</v>
      </c>
      <c r="M39" s="4"/>
    </row>
    <row r="40" spans="2:13">
      <c r="B40" t="s">
        <v>48</v>
      </c>
      <c r="E40" s="9">
        <v>22790</v>
      </c>
      <c r="G40" s="9">
        <v>22790</v>
      </c>
      <c r="H40" s="9">
        <v>22783</v>
      </c>
      <c r="I40" s="9">
        <v>22783</v>
      </c>
      <c r="J40" s="9">
        <v>12705</v>
      </c>
      <c r="K40" s="9">
        <v>12705</v>
      </c>
      <c r="L40" s="9">
        <v>5558</v>
      </c>
      <c r="M40" s="4"/>
    </row>
    <row r="41" spans="2:13">
      <c r="B41" t="s">
        <v>49</v>
      </c>
      <c r="E41" s="7">
        <v>27989</v>
      </c>
      <c r="G41" s="7">
        <v>27989</v>
      </c>
      <c r="H41" s="7">
        <v>22273</v>
      </c>
      <c r="I41" s="7">
        <v>21707</v>
      </c>
      <c r="J41" s="7">
        <v>15266</v>
      </c>
      <c r="K41" s="7">
        <v>15100</v>
      </c>
      <c r="L41" s="7">
        <v>5231</v>
      </c>
      <c r="M41" s="4"/>
    </row>
    <row r="42" spans="2:13">
      <c r="B42" t="s">
        <v>50</v>
      </c>
      <c r="E42">
        <v>2071</v>
      </c>
      <c r="G42">
        <v>2071</v>
      </c>
      <c r="H42">
        <v>1981</v>
      </c>
      <c r="I42">
        <v>2743</v>
      </c>
      <c r="J42">
        <v>2571</v>
      </c>
      <c r="K42">
        <v>2394</v>
      </c>
      <c r="L42">
        <v>1601</v>
      </c>
      <c r="M42" s="4"/>
    </row>
    <row r="43" spans="2:13" s="3" customFormat="1">
      <c r="B43" s="3" t="s">
        <v>51</v>
      </c>
      <c r="E43" s="5">
        <f>SUM(E30:E42)</f>
        <v>101955</v>
      </c>
      <c r="G43" s="5">
        <f>SUM(G30:G42)</f>
        <v>101955</v>
      </c>
      <c r="H43" s="5">
        <f>SUM(H30:H42)</f>
        <v>105528</v>
      </c>
      <c r="I43" s="5">
        <f>SUM(I30:I42)</f>
        <v>101099</v>
      </c>
      <c r="J43" s="5">
        <f>SUM(J30:J42)</f>
        <v>78655</v>
      </c>
      <c r="K43" s="5">
        <f>SUM(K30:K42)</f>
        <v>58469</v>
      </c>
      <c r="L43" s="5">
        <f>SUM(L30:L42)</f>
        <v>35253</v>
      </c>
      <c r="M43" s="5"/>
    </row>
    <row r="44" spans="2:13">
      <c r="E44" s="4"/>
      <c r="G44" s="4"/>
      <c r="H44" s="4"/>
      <c r="I44" s="4"/>
      <c r="L44" s="4"/>
    </row>
    <row r="45" spans="2:13">
      <c r="B45" t="s">
        <v>52</v>
      </c>
      <c r="E45" s="4">
        <v>30238</v>
      </c>
      <c r="G45" s="4">
        <v>30238</v>
      </c>
      <c r="H45" s="4">
        <v>31412</v>
      </c>
      <c r="I45" s="4">
        <v>28968</v>
      </c>
      <c r="J45" s="4">
        <v>27349</v>
      </c>
      <c r="K45" s="4">
        <v>23559</v>
      </c>
      <c r="L45" s="4">
        <v>26129</v>
      </c>
      <c r="M45" s="4"/>
    </row>
    <row r="46" spans="2:13">
      <c r="B46" t="s">
        <v>53</v>
      </c>
      <c r="E46" s="4">
        <v>13562</v>
      </c>
      <c r="G46" s="4">
        <v>13562</v>
      </c>
      <c r="H46" s="4">
        <v>13845</v>
      </c>
      <c r="I46" s="4">
        <v>13232</v>
      </c>
      <c r="J46" s="4">
        <v>13694</v>
      </c>
      <c r="K46" s="4">
        <v>10647</v>
      </c>
      <c r="L46" s="4">
        <v>11174</v>
      </c>
    </row>
    <row r="47" spans="2:13">
      <c r="B47" t="s">
        <v>54</v>
      </c>
      <c r="E47" s="4">
        <f>4323+375</f>
        <v>4698</v>
      </c>
      <c r="G47" s="4">
        <f>4323+375</f>
        <v>4698</v>
      </c>
      <c r="H47" s="4">
        <f>5285+0</f>
        <v>5285</v>
      </c>
      <c r="I47" s="4">
        <f>4321+742</f>
        <v>5063</v>
      </c>
      <c r="J47" s="4">
        <f>3501+0+749</f>
        <v>4250</v>
      </c>
      <c r="K47" s="4">
        <f>2851+2876+757</f>
        <v>6484</v>
      </c>
      <c r="L47" s="4">
        <f>3228+2871+425</f>
        <v>6524</v>
      </c>
    </row>
    <row r="48" spans="2:13">
      <c r="B48" t="s">
        <v>55</v>
      </c>
      <c r="E48" s="4">
        <f>8394+63</f>
        <v>8457</v>
      </c>
      <c r="G48" s="4">
        <f>8394+63</f>
        <v>8457</v>
      </c>
      <c r="H48" s="4">
        <f>7840+46</f>
        <v>7886</v>
      </c>
      <c r="I48" s="4">
        <f>8850+21</f>
        <v>8871</v>
      </c>
      <c r="J48" s="4">
        <f>6482+14</f>
        <v>6496</v>
      </c>
      <c r="K48" s="4">
        <f>1641+0+9</f>
        <v>1650</v>
      </c>
      <c r="L48" s="4">
        <f>1669+27</f>
        <v>1696</v>
      </c>
    </row>
    <row r="49" spans="2:13">
      <c r="B49" t="s">
        <v>56</v>
      </c>
      <c r="E49" s="4">
        <f>4193+333+47+0</f>
        <v>4573</v>
      </c>
      <c r="G49" s="4">
        <f>4193+333+47+0</f>
        <v>4573</v>
      </c>
      <c r="H49" s="4">
        <f>2245+290+0</f>
        <v>2535</v>
      </c>
      <c r="I49" s="4">
        <f>2082+176+0</f>
        <v>2258</v>
      </c>
      <c r="J49" s="4">
        <f>2726+199+48+0</f>
        <v>2973</v>
      </c>
      <c r="K49" s="4">
        <f>2734+144+48</f>
        <v>2926</v>
      </c>
      <c r="L49" s="4">
        <f>2473+210+48</f>
        <v>2731</v>
      </c>
    </row>
    <row r="50" spans="2:13">
      <c r="B50" t="s">
        <v>57</v>
      </c>
      <c r="E50" s="4">
        <v>1898</v>
      </c>
      <c r="G50" s="4">
        <v>1898</v>
      </c>
      <c r="H50" s="4">
        <v>1807</v>
      </c>
      <c r="I50" s="4">
        <v>2234</v>
      </c>
      <c r="J50" s="4">
        <v>2054</v>
      </c>
      <c r="K50" s="4">
        <f>1871+0</f>
        <v>1871</v>
      </c>
      <c r="L50" s="4">
        <f>1374+0</f>
        <v>1374</v>
      </c>
    </row>
    <row r="51" spans="2:13">
      <c r="B51" t="s">
        <v>58</v>
      </c>
      <c r="E51" s="4">
        <f>SUM(E45:E50)</f>
        <v>63426</v>
      </c>
      <c r="G51" s="4">
        <f>SUM(G45:G50)</f>
        <v>63426</v>
      </c>
      <c r="H51" s="4">
        <f>SUM(H45:H50)</f>
        <v>62770</v>
      </c>
      <c r="I51" s="4">
        <f>SUM(I45:I50)</f>
        <v>60626</v>
      </c>
      <c r="J51" s="4">
        <f>SUM(J45:J50)</f>
        <v>56816</v>
      </c>
      <c r="K51" s="4">
        <f>SUM(K45:K50)</f>
        <v>47137</v>
      </c>
      <c r="L51" s="4">
        <f>SUM(L45:L50)</f>
        <v>49628</v>
      </c>
    </row>
    <row r="52" spans="2:13" s="3" customFormat="1">
      <c r="B52" s="3" t="s">
        <v>59</v>
      </c>
      <c r="E52" s="5">
        <f>SUM(E45:E51)</f>
        <v>126852</v>
      </c>
      <c r="G52" s="5">
        <f>SUM(G45:G51)</f>
        <v>126852</v>
      </c>
      <c r="H52" s="5">
        <f>SUM(H45:H51)</f>
        <v>125540</v>
      </c>
      <c r="I52" s="5">
        <f>SUM(I45:I51)</f>
        <v>121252</v>
      </c>
      <c r="J52" s="5">
        <f>SUM(J45:J51)</f>
        <v>113632</v>
      </c>
      <c r="K52" s="5">
        <f>SUM(K45:K51)</f>
        <v>94274</v>
      </c>
      <c r="L52" s="5">
        <f>SUM(L45:L51)</f>
        <v>99256</v>
      </c>
    </row>
    <row r="53" spans="2:13">
      <c r="L53" s="4"/>
    </row>
    <row r="54" spans="2:13">
      <c r="L54" s="4"/>
    </row>
    <row r="55" spans="2:13">
      <c r="L55" s="4"/>
    </row>
    <row r="56" spans="2:13">
      <c r="K56" s="3"/>
      <c r="L56" s="5"/>
      <c r="M56" s="3"/>
    </row>
    <row r="57" spans="2:13">
      <c r="L57" s="4"/>
      <c r="M57" s="4"/>
    </row>
    <row r="58" spans="2:13">
      <c r="L58" s="4"/>
      <c r="M58" s="4"/>
    </row>
    <row r="59" spans="2:13">
      <c r="L59" s="4"/>
      <c r="M59" s="4"/>
    </row>
    <row r="60" spans="2:13">
      <c r="L60" s="4"/>
      <c r="M60" s="4"/>
    </row>
    <row r="61" spans="2:13">
      <c r="L61" s="4"/>
      <c r="M61" s="4"/>
    </row>
    <row r="62" spans="2:13">
      <c r="L62" s="4"/>
      <c r="M62" s="4"/>
    </row>
    <row r="63" spans="2:13">
      <c r="L63" s="4"/>
      <c r="M63" s="4"/>
    </row>
    <row r="64" spans="2:13">
      <c r="L64" s="4"/>
      <c r="M64" s="4"/>
    </row>
    <row r="65" spans="12:13">
      <c r="L65" s="4"/>
      <c r="M65" s="4"/>
    </row>
    <row r="66" spans="12:13">
      <c r="L66" s="4"/>
      <c r="M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2025-10-20T15:12:38Z</dcterms:created>
  <dcterms:modified xsi:type="dcterms:W3CDTF">2025-10-24T19:02:57Z</dcterms:modified>
  <cp:category/>
  <cp:contentStatus/>
</cp:coreProperties>
</file>